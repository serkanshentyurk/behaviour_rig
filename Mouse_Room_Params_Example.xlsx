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ylee/Desktop/"/>
    </mc:Choice>
  </mc:AlternateContent>
  <xr:revisionPtr revIDLastSave="0" documentId="13_ncr:1_{C605F220-1578-254D-AAED-018FFA47F885}" xr6:coauthVersionLast="47" xr6:coauthVersionMax="47" xr10:uidLastSave="{00000000-0000-0000-0000-000000000000}"/>
  <bookViews>
    <workbookView xWindow="0" yWindow="760" windowWidth="30240" windowHeight="18580" xr2:uid="{9D497EA0-8A17-764B-A77D-E347FD56DEA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8" i="1" l="1"/>
  <c r="AH18" i="1"/>
  <c r="W18" i="1"/>
  <c r="T18" i="1"/>
  <c r="P18" i="1"/>
  <c r="K18" i="1"/>
  <c r="J18" i="1"/>
  <c r="F18" i="1"/>
  <c r="E18" i="1"/>
  <c r="F17" i="1"/>
  <c r="F16" i="1"/>
  <c r="AL9" i="1"/>
  <c r="AL10" i="1"/>
  <c r="AL11" i="1"/>
  <c r="AL12" i="1"/>
  <c r="AL13" i="1"/>
  <c r="AL14" i="1"/>
  <c r="AL15" i="1"/>
  <c r="AL16" i="1"/>
  <c r="AL17" i="1"/>
  <c r="AH10" i="1"/>
  <c r="AH11" i="1"/>
  <c r="AH12" i="1"/>
  <c r="AH13" i="1"/>
  <c r="AH14" i="1"/>
  <c r="AH15" i="1"/>
  <c r="AH16" i="1"/>
  <c r="AH17" i="1"/>
  <c r="AH9" i="1"/>
  <c r="T10" i="1"/>
  <c r="W10" i="1"/>
  <c r="T11" i="1"/>
  <c r="W11" i="1"/>
  <c r="T12" i="1"/>
  <c r="W12" i="1"/>
  <c r="T13" i="1"/>
  <c r="W13" i="1"/>
  <c r="T14" i="1"/>
  <c r="W14" i="1"/>
  <c r="T15" i="1"/>
  <c r="W15" i="1"/>
  <c r="T16" i="1"/>
  <c r="W16" i="1"/>
  <c r="T17" i="1"/>
  <c r="W17" i="1"/>
  <c r="W9" i="1"/>
  <c r="T9" i="1"/>
  <c r="P9" i="1"/>
  <c r="P10" i="1"/>
  <c r="P11" i="1"/>
  <c r="P12" i="1"/>
  <c r="P13" i="1"/>
  <c r="P14" i="1"/>
  <c r="P15" i="1"/>
  <c r="P16" i="1"/>
  <c r="P17" i="1"/>
  <c r="K9" i="1"/>
  <c r="K10" i="1"/>
  <c r="K11" i="1"/>
  <c r="K12" i="1"/>
  <c r="K13" i="1"/>
  <c r="K14" i="1"/>
  <c r="K15" i="1"/>
  <c r="K16" i="1"/>
  <c r="K17" i="1"/>
  <c r="J9" i="1"/>
  <c r="J10" i="1"/>
  <c r="J11" i="1"/>
  <c r="J12" i="1"/>
  <c r="J13" i="1"/>
  <c r="J14" i="1"/>
  <c r="J15" i="1"/>
  <c r="J16" i="1"/>
  <c r="J17" i="1"/>
  <c r="F9" i="1"/>
  <c r="F10" i="1"/>
  <c r="F11" i="1"/>
  <c r="F12" i="1"/>
  <c r="F13" i="1"/>
  <c r="F14" i="1"/>
  <c r="F15" i="1"/>
  <c r="E9" i="1"/>
  <c r="E10" i="1"/>
  <c r="E11" i="1"/>
  <c r="E12" i="1"/>
  <c r="E13" i="1"/>
  <c r="E14" i="1"/>
  <c r="E15" i="1"/>
  <c r="E16" i="1"/>
  <c r="E17" i="1"/>
  <c r="AL8" i="1"/>
  <c r="AH8" i="1"/>
  <c r="W8" i="1"/>
  <c r="T8" i="1"/>
  <c r="P8" i="1"/>
  <c r="K8" i="1"/>
  <c r="J8" i="1"/>
  <c r="F8" i="1"/>
  <c r="E8" i="1"/>
</calcChain>
</file>

<file path=xl/sharedStrings.xml><?xml version="1.0" encoding="utf-8"?>
<sst xmlns="http://schemas.openxmlformats.org/spreadsheetml/2006/main" count="167" uniqueCount="91">
  <si>
    <t>Subject</t>
  </si>
  <si>
    <t>Protocol</t>
  </si>
  <si>
    <t>Stage</t>
  </si>
  <si>
    <t>Air_Puff_Contingency_Rule</t>
  </si>
  <si>
    <t>AntiBias</t>
  </si>
  <si>
    <t>Distribution</t>
  </si>
  <si>
    <t>Stim_Type</t>
  </si>
  <si>
    <t>Nb_Of_Stim</t>
  </si>
  <si>
    <t>Emulator</t>
  </si>
  <si>
    <t>Show_Contingency_Switches</t>
  </si>
  <si>
    <t>Sound_Contingency</t>
  </si>
  <si>
    <t>Sound_Air_Puff_Contingency</t>
  </si>
  <si>
    <t>Working_Memory_Type</t>
  </si>
  <si>
    <t>Sound_Duration</t>
  </si>
  <si>
    <t>Arduino</t>
  </si>
  <si>
    <t>AntiBias_Exp_Rate</t>
  </si>
  <si>
    <t>AntiBias_Window</t>
  </si>
  <si>
    <t>AntiBias_Sigmoid_Slope</t>
  </si>
  <si>
    <t>Agent_Sim</t>
  </si>
  <si>
    <t>Agent_Performance</t>
  </si>
  <si>
    <t>Agent_Bias</t>
  </si>
  <si>
    <t>Stim_Dur_Staircase</t>
  </si>
  <si>
    <t>Stim_Dur_Staircase_Perf_Thresh</t>
  </si>
  <si>
    <t>Stim_Dur_Staircase_Step</t>
  </si>
  <si>
    <t>Min_Stim_Dur</t>
  </si>
  <si>
    <t>Inter_Trial_Interval</t>
  </si>
  <si>
    <t>Timeout_Duration</t>
  </si>
  <si>
    <t>Response_Window</t>
  </si>
  <si>
    <t>Stim_Range_Min</t>
  </si>
  <si>
    <t>Stim_Range_Max</t>
  </si>
  <si>
    <t>Go_Cue_Duration</t>
  </si>
  <si>
    <t>Visualiser_Window_Size</t>
  </si>
  <si>
    <t>Stable_Start</t>
  </si>
  <si>
    <t>Stable_Start_Window</t>
  </si>
  <si>
    <t>Max_Trials_Consec</t>
  </si>
  <si>
    <t>Stable_Stim_Dist_Boundary</t>
  </si>
  <si>
    <t>Opto_ON</t>
  </si>
  <si>
    <t>Opto_Type</t>
  </si>
  <si>
    <t>Zapit_Nb_Conditions</t>
  </si>
  <si>
    <t>Perc_Opto_Trials</t>
  </si>
  <si>
    <t>Light_Freq (Hz)</t>
  </si>
  <si>
    <t>Opto_Onset_1</t>
  </si>
  <si>
    <t>Opto_Onset_2</t>
  </si>
  <si>
    <t>Opto_Offset_1</t>
  </si>
  <si>
    <t>Opto_Offset_2</t>
  </si>
  <si>
    <t>Opto_Duration</t>
  </si>
  <si>
    <t>Stimulation_Site</t>
  </si>
  <si>
    <t>Stimulation_Type</t>
  </si>
  <si>
    <t>Rig</t>
  </si>
  <si>
    <t>SS01</t>
  </si>
  <si>
    <t>SOUND_CAT</t>
  </si>
  <si>
    <t>Habituation</t>
  </si>
  <si>
    <t>Uniform</t>
  </si>
  <si>
    <t>WN</t>
  </si>
  <si>
    <t>Low_Left_High_Right</t>
  </si>
  <si>
    <t>Low_Pro_High_Anti</t>
  </si>
  <si>
    <t>Fixed</t>
  </si>
  <si>
    <t>Lick_To_Release</t>
  </si>
  <si>
    <t>Three_And_Three</t>
  </si>
  <si>
    <t>Full_Task_Disc</t>
  </si>
  <si>
    <t>Full_Task_Cont</t>
  </si>
  <si>
    <t>Red columns</t>
  </si>
  <si>
    <t>Blue columns</t>
  </si>
  <si>
    <t>Black columns</t>
  </si>
  <si>
    <t>If a mouse is strongly biased for a long period, gradually increasing timeout duration can motivate them to become less biased</t>
  </si>
  <si>
    <t>Rigs 1-3: Arduino is False
Rigs 4-9: Arduino is True</t>
  </si>
  <si>
    <t>What this stage is</t>
  </si>
  <si>
    <t>Full continuous stimulus range presented</t>
  </si>
  <si>
    <t>4 discrete stimuli from the stimulus range presented</t>
  </si>
  <si>
    <t>6 discrete stimuli from the stimulus range presented</t>
  </si>
  <si>
    <t>8 discrete stimuli from the stimulus range presented</t>
  </si>
  <si>
    <t>Asym_Left</t>
  </si>
  <si>
    <t>The ITI is 10s  for habituation and 2s  for all other stages</t>
  </si>
  <si>
    <t>Full continuous stimulus range with antibias off</t>
  </si>
  <si>
    <t>Zapit</t>
  </si>
  <si>
    <t>Sound</t>
  </si>
  <si>
    <t>Feedback</t>
  </si>
  <si>
    <t>PPC</t>
  </si>
  <si>
    <t>Bilateral</t>
  </si>
  <si>
    <t>Every time the mouse licks, water is given (whichever side is licked) (1-2 days)</t>
  </si>
  <si>
    <t>Limited changes needed, either at the beginning of training or for special circumstances</t>
  </si>
  <si>
    <t>Start with AntiBias slope at 1.5-2. Once mice perform well on Full_Task_Disc with 2 stimuli, start reducing AntiBias gradually to 0.25. Before changing stimulus distribution, turn AntiBias off and make sure performance is stable.</t>
  </si>
  <si>
    <t>Low_Left_High_Right or Low_Right_High_Left</t>
  </si>
  <si>
    <t>No changes needed. The settings are either fixed for all mice on this task or irrelevant to this task.</t>
  </si>
  <si>
    <t>Most important settings, with updates needed across different stages</t>
  </si>
  <si>
    <t>Example stage progression for mouse one-step sound categorization task</t>
  </si>
  <si>
    <t>Water is automatically given every 10 seconds from either spout (1 day)</t>
  </si>
  <si>
    <t>Same as Lick_To_Release, but mouse must lick each side 3 times consecutively (3-5 days)</t>
  </si>
  <si>
    <t>Easiest version of the full task, with only the extreme ends of the stimulus range (50 and 82 dB) presented</t>
  </si>
  <si>
    <t>Full continuous stimulus range with antibias off and distribution change (Asym_Left or Asym_Right)</t>
  </si>
  <si>
    <t>Full continuous stimulus range with antibias off, distribution change (Asym_Left or Asym_Right), and opto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</si>
</sst>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0" fontId="0" fillId="0" borderId="0" xfId="0" applyAlignment="1">
      <alignment horizontal="left" vertical="center" wrapText="1"/>
    </xf>
    <xf numFmtId="0" fontId="8" fillId="0" borderId="1" xfId="0" applyFont="1" applyBorder="1"/>
    <xf numFmtId="0" fontId="7" fillId="0" borderId="1" xfId="0" applyFont="1" applyBorder="1"/>
    <xf numFmtId="0" fontId="2" fillId="0" borderId="1" xfId="0" applyFont="1" applyBorder="1"/>
    <xf numFmtId="0" fontId="7" fillId="0" borderId="1" xfId="0" applyFont="1" applyBorder="1" applyAlignment="1">
      <alignment horizontal="left"/>
    </xf>
    <xf numFmtId="0" fontId="1" fillId="0" borderId="1" xfId="0" applyFont="1" applyBorder="1"/>
    <xf numFmtId="0" fontId="0" fillId="0" borderId="1" xfId="0" applyBorder="1"/>
    <xf numFmtId="0" fontId="0" fillId="0" borderId="1" xfId="0" applyFont="1" applyBorder="1"/>
    <xf numFmtId="0" fontId="12" fillId="0" borderId="1" xfId="0" applyFont="1" applyBorder="1"/>
    <xf numFmtId="164" fontId="0" fillId="0" borderId="1" xfId="0" applyNumberFormat="1" applyBorder="1"/>
    <xf numFmtId="0" fontId="1" fillId="0" borderId="1" xfId="0" quotePrefix="1" applyFont="1" applyBorder="1"/>
    <xf numFmtId="0" fontId="9" fillId="0" borderId="1" xfId="0" applyFont="1" applyBorder="1"/>
    <xf numFmtId="0" fontId="0" fillId="0" borderId="1" xfId="0" quotePrefix="1" applyBorder="1"/>
    <xf numFmtId="0" fontId="11" fillId="0" borderId="1" xfId="0" applyFont="1" applyBorder="1"/>
    <xf numFmtId="0" fontId="9" fillId="0" borderId="1" xfId="0" quotePrefix="1" applyFont="1" applyBorder="1"/>
    <xf numFmtId="0" fontId="3" fillId="0" borderId="1" xfId="0" applyFont="1" applyBorder="1"/>
    <xf numFmtId="0" fontId="10" fillId="0" borderId="1" xfId="0" applyFont="1" applyBorder="1"/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071F0-67D6-A041-A28F-A75AA4D11D52}">
  <dimension ref="A1:AX21"/>
  <sheetViews>
    <sheetView showGridLines="0" tabSelected="1" topLeftCell="A11" zoomScale="106" workbookViewId="0">
      <pane xSplit="4" topLeftCell="E1" activePane="topRight" state="frozen"/>
      <selection activeCell="A6" sqref="A6"/>
      <selection pane="topRight" activeCell="A18" sqref="A18"/>
    </sheetView>
  </sheetViews>
  <sheetFormatPr baseColWidth="10" defaultRowHeight="16" x14ac:dyDescent="0.2"/>
  <cols>
    <col min="1" max="1" width="34.5" customWidth="1"/>
    <col min="2" max="2" width="11.6640625" customWidth="1"/>
    <col min="3" max="3" width="14.1640625" customWidth="1"/>
    <col min="4" max="4" width="16.1640625" customWidth="1"/>
    <col min="5" max="5" width="22" bestFit="1" customWidth="1"/>
    <col min="7" max="7" width="10.6640625" bestFit="1" customWidth="1"/>
    <col min="11" max="11" width="23.83203125" bestFit="1" customWidth="1"/>
    <col min="12" max="12" width="17.83203125" bestFit="1" customWidth="1"/>
    <col min="13" max="13" width="23.5" bestFit="1" customWidth="1"/>
    <col min="14" max="14" width="19" bestFit="1" customWidth="1"/>
    <col min="15" max="15" width="13.6640625" bestFit="1" customWidth="1"/>
    <col min="17" max="17" width="15.1640625" bestFit="1" customWidth="1"/>
    <col min="18" max="18" width="14.33203125" bestFit="1" customWidth="1"/>
    <col min="19" max="19" width="19.83203125" bestFit="1" customWidth="1"/>
    <col min="21" max="21" width="16.5" bestFit="1" customWidth="1"/>
    <col min="23" max="23" width="11" customWidth="1"/>
    <col min="24" max="24" width="11.6640625" customWidth="1"/>
    <col min="26" max="26" width="11.83203125" bestFit="1" customWidth="1"/>
    <col min="27" max="27" width="15.6640625" bestFit="1" customWidth="1"/>
    <col min="28" max="28" width="15.1640625" bestFit="1" customWidth="1"/>
    <col min="29" max="29" width="15.6640625" bestFit="1" customWidth="1"/>
    <col min="30" max="30" width="13.6640625" bestFit="1" customWidth="1"/>
    <col min="31" max="31" width="13.83203125" bestFit="1" customWidth="1"/>
    <col min="32" max="32" width="14.6640625" bestFit="1" customWidth="1"/>
    <col min="33" max="33" width="19.83203125" bestFit="1" customWidth="1"/>
    <col min="34" max="34" width="10.6640625" bestFit="1" customWidth="1"/>
    <col min="35" max="35" width="17.6640625" bestFit="1" customWidth="1"/>
    <col min="36" max="36" width="15.5" bestFit="1" customWidth="1"/>
    <col min="37" max="37" width="22.6640625" bestFit="1" customWidth="1"/>
    <col min="40" max="40" width="17.33203125" bestFit="1" customWidth="1"/>
    <col min="41" max="41" width="14" bestFit="1" customWidth="1"/>
    <col min="42" max="42" width="12.5" bestFit="1" customWidth="1"/>
    <col min="43" max="43" width="12" bestFit="1" customWidth="1"/>
    <col min="44" max="44" width="14.6640625" bestFit="1" customWidth="1"/>
    <col min="45" max="46" width="12" bestFit="1" customWidth="1"/>
    <col min="47" max="47" width="12.5" bestFit="1" customWidth="1"/>
    <col min="48" max="48" width="14.1640625" bestFit="1" customWidth="1"/>
    <col min="49" max="49" width="14.6640625" bestFit="1" customWidth="1"/>
  </cols>
  <sheetData>
    <row r="1" spans="1:50" ht="24" x14ac:dyDescent="0.3">
      <c r="A1" s="3" t="s">
        <v>85</v>
      </c>
    </row>
    <row r="2" spans="1:50" ht="24" x14ac:dyDescent="0.3">
      <c r="A2" s="3"/>
    </row>
    <row r="3" spans="1:50" x14ac:dyDescent="0.2">
      <c r="B3" s="1" t="s">
        <v>63</v>
      </c>
      <c r="C3" t="s">
        <v>84</v>
      </c>
    </row>
    <row r="4" spans="1:50" x14ac:dyDescent="0.2">
      <c r="B4" s="7" t="s">
        <v>62</v>
      </c>
      <c r="C4" t="s">
        <v>80</v>
      </c>
    </row>
    <row r="5" spans="1:50" x14ac:dyDescent="0.2">
      <c r="B5" s="4" t="s">
        <v>61</v>
      </c>
      <c r="C5" t="s">
        <v>83</v>
      </c>
    </row>
    <row r="7" spans="1:50" ht="26" customHeight="1" x14ac:dyDescent="0.2">
      <c r="A7" s="2" t="s">
        <v>66</v>
      </c>
      <c r="B7" s="9" t="s">
        <v>0</v>
      </c>
      <c r="C7" s="10" t="s">
        <v>1</v>
      </c>
      <c r="D7" s="11" t="s">
        <v>2</v>
      </c>
      <c r="E7" s="10" t="s">
        <v>3</v>
      </c>
      <c r="F7" s="11" t="s">
        <v>4</v>
      </c>
      <c r="G7" s="11" t="s">
        <v>5</v>
      </c>
      <c r="H7" s="10" t="s">
        <v>6</v>
      </c>
      <c r="I7" s="11" t="s">
        <v>7</v>
      </c>
      <c r="J7" s="10" t="s">
        <v>8</v>
      </c>
      <c r="K7" s="10" t="s">
        <v>9</v>
      </c>
      <c r="L7" s="9" t="s">
        <v>10</v>
      </c>
      <c r="M7" s="10" t="s">
        <v>11</v>
      </c>
      <c r="N7" s="10" t="s">
        <v>12</v>
      </c>
      <c r="O7" s="10" t="s">
        <v>13</v>
      </c>
      <c r="P7" s="9" t="s">
        <v>14</v>
      </c>
      <c r="Q7" s="10" t="s">
        <v>15</v>
      </c>
      <c r="R7" s="10" t="s">
        <v>16</v>
      </c>
      <c r="S7" s="11" t="s">
        <v>17</v>
      </c>
      <c r="T7" s="12" t="s">
        <v>18</v>
      </c>
      <c r="U7" s="10" t="s">
        <v>19</v>
      </c>
      <c r="V7" s="10" t="s">
        <v>20</v>
      </c>
      <c r="W7" s="10" t="s">
        <v>21</v>
      </c>
      <c r="X7" s="10" t="s">
        <v>22</v>
      </c>
      <c r="Y7" s="10" t="s">
        <v>23</v>
      </c>
      <c r="Z7" s="10" t="s">
        <v>24</v>
      </c>
      <c r="AA7" s="9" t="s">
        <v>25</v>
      </c>
      <c r="AB7" s="9" t="s">
        <v>26</v>
      </c>
      <c r="AC7" s="10" t="s">
        <v>27</v>
      </c>
      <c r="AD7" s="10" t="s">
        <v>28</v>
      </c>
      <c r="AE7" s="10" t="s">
        <v>29</v>
      </c>
      <c r="AF7" s="10" t="s">
        <v>30</v>
      </c>
      <c r="AG7" s="10" t="s">
        <v>31</v>
      </c>
      <c r="AH7" s="10" t="s">
        <v>32</v>
      </c>
      <c r="AI7" s="10" t="s">
        <v>33</v>
      </c>
      <c r="AJ7" s="10" t="s">
        <v>34</v>
      </c>
      <c r="AK7" s="10" t="s">
        <v>35</v>
      </c>
      <c r="AL7" s="11" t="s">
        <v>36</v>
      </c>
      <c r="AM7" s="11" t="s">
        <v>37</v>
      </c>
      <c r="AN7" s="10" t="s">
        <v>38</v>
      </c>
      <c r="AO7" s="11" t="s">
        <v>39</v>
      </c>
      <c r="AP7" s="10" t="s">
        <v>40</v>
      </c>
      <c r="AQ7" s="11" t="s">
        <v>41</v>
      </c>
      <c r="AR7" s="10" t="s">
        <v>42</v>
      </c>
      <c r="AS7" s="11" t="s">
        <v>43</v>
      </c>
      <c r="AT7" s="11" t="s">
        <v>44</v>
      </c>
      <c r="AU7" s="10" t="s">
        <v>45</v>
      </c>
      <c r="AV7" s="11" t="s">
        <v>46</v>
      </c>
      <c r="AW7" s="11" t="s">
        <v>47</v>
      </c>
      <c r="AX7" s="10" t="s">
        <v>48</v>
      </c>
    </row>
    <row r="8" spans="1:50" ht="51" customHeight="1" x14ac:dyDescent="0.2">
      <c r="A8" s="8" t="s">
        <v>86</v>
      </c>
      <c r="B8" s="9" t="s">
        <v>49</v>
      </c>
      <c r="C8" s="13" t="s">
        <v>50</v>
      </c>
      <c r="D8" s="14" t="s">
        <v>51</v>
      </c>
      <c r="E8" s="13" t="e">
        <f>#N/A</f>
        <v>#N/A</v>
      </c>
      <c r="F8" s="15" t="str">
        <f t="shared" ref="F8:F15" si="0">PROPER(TRUE)</f>
        <v>True</v>
      </c>
      <c r="G8" s="16" t="s">
        <v>52</v>
      </c>
      <c r="H8" s="13" t="s">
        <v>53</v>
      </c>
      <c r="I8" s="17">
        <v>2</v>
      </c>
      <c r="J8" s="13" t="str">
        <f t="shared" ref="J8:K18" si="1">PROPER(FALSE)</f>
        <v>False</v>
      </c>
      <c r="K8" s="13" t="str">
        <f t="shared" si="1"/>
        <v>False</v>
      </c>
      <c r="L8" s="19" t="s">
        <v>54</v>
      </c>
      <c r="M8" s="13" t="s">
        <v>55</v>
      </c>
      <c r="N8" s="13" t="s">
        <v>56</v>
      </c>
      <c r="O8" s="18">
        <v>300</v>
      </c>
      <c r="P8" s="19" t="str">
        <f t="shared" ref="P8:P18" si="2">PROPER(FALSE)</f>
        <v>False</v>
      </c>
      <c r="Q8" s="18">
        <v>1</v>
      </c>
      <c r="R8" s="18">
        <v>30</v>
      </c>
      <c r="S8" s="20">
        <v>1.75</v>
      </c>
      <c r="T8" s="13" t="str">
        <f t="shared" ref="T8:T18" si="3">PROPER(FALSE)</f>
        <v>False</v>
      </c>
      <c r="U8" s="18">
        <v>0.8</v>
      </c>
      <c r="V8" s="18">
        <v>0.5</v>
      </c>
      <c r="W8" s="13" t="str">
        <f t="shared" ref="W8:W18" si="4">PROPER(FALSE)</f>
        <v>False</v>
      </c>
      <c r="X8" s="18">
        <v>0.8</v>
      </c>
      <c r="Y8" s="18">
        <v>50</v>
      </c>
      <c r="Z8" s="18">
        <v>50</v>
      </c>
      <c r="AA8" s="21">
        <v>10</v>
      </c>
      <c r="AB8" s="22">
        <v>3</v>
      </c>
      <c r="AC8" s="18">
        <v>10</v>
      </c>
      <c r="AD8" s="18">
        <v>50</v>
      </c>
      <c r="AE8" s="18">
        <v>82</v>
      </c>
      <c r="AF8" s="18">
        <v>300</v>
      </c>
      <c r="AG8" s="18">
        <v>30</v>
      </c>
      <c r="AH8" s="13" t="str">
        <f t="shared" ref="AH8:AH18" si="5">PROPER(TRUE)</f>
        <v>True</v>
      </c>
      <c r="AI8" s="18">
        <v>20</v>
      </c>
      <c r="AJ8" s="18">
        <v>3</v>
      </c>
      <c r="AK8" s="18">
        <v>0.8</v>
      </c>
      <c r="AL8" s="14" t="str">
        <f t="shared" ref="AL8:AL17" si="6">PROPER(FALSE)</f>
        <v>False</v>
      </c>
      <c r="AM8" s="23" t="e">
        <v>#N/A</v>
      </c>
      <c r="AN8" s="24" t="e">
        <v>#N/A</v>
      </c>
      <c r="AO8" s="23" t="e">
        <v>#N/A</v>
      </c>
      <c r="AP8" s="24" t="e">
        <v>#N/A</v>
      </c>
      <c r="AQ8" s="23" t="e">
        <v>#N/A</v>
      </c>
      <c r="AR8" s="24" t="e">
        <v>#N/A</v>
      </c>
      <c r="AS8" s="23" t="e">
        <v>#N/A</v>
      </c>
      <c r="AT8" s="23" t="e">
        <v>#N/A</v>
      </c>
      <c r="AU8" s="24" t="e">
        <v>#N/A</v>
      </c>
      <c r="AV8" s="23" t="e">
        <v>#N/A</v>
      </c>
      <c r="AW8" s="23" t="e">
        <v>#N/A</v>
      </c>
      <c r="AX8" s="24" t="e">
        <v>#N/A</v>
      </c>
    </row>
    <row r="9" spans="1:50" ht="51" customHeight="1" x14ac:dyDescent="0.2">
      <c r="A9" s="8" t="s">
        <v>79</v>
      </c>
      <c r="B9" s="9" t="s">
        <v>49</v>
      </c>
      <c r="C9" s="13" t="s">
        <v>50</v>
      </c>
      <c r="D9" s="14" t="s">
        <v>57</v>
      </c>
      <c r="E9" s="13" t="e">
        <f>#N/A</f>
        <v>#N/A</v>
      </c>
      <c r="F9" s="15" t="str">
        <f t="shared" si="0"/>
        <v>True</v>
      </c>
      <c r="G9" s="16" t="s">
        <v>52</v>
      </c>
      <c r="H9" s="13" t="s">
        <v>53</v>
      </c>
      <c r="I9" s="17">
        <v>2</v>
      </c>
      <c r="J9" s="13" t="str">
        <f t="shared" si="1"/>
        <v>False</v>
      </c>
      <c r="K9" s="13" t="str">
        <f t="shared" si="1"/>
        <v>False</v>
      </c>
      <c r="L9" s="19" t="s">
        <v>54</v>
      </c>
      <c r="M9" s="13" t="s">
        <v>55</v>
      </c>
      <c r="N9" s="13" t="s">
        <v>56</v>
      </c>
      <c r="O9" s="18">
        <v>300</v>
      </c>
      <c r="P9" s="19" t="str">
        <f t="shared" si="2"/>
        <v>False</v>
      </c>
      <c r="Q9" s="18">
        <v>1</v>
      </c>
      <c r="R9" s="18">
        <v>30</v>
      </c>
      <c r="S9" s="20">
        <v>1.75</v>
      </c>
      <c r="T9" s="13" t="str">
        <f t="shared" si="3"/>
        <v>False</v>
      </c>
      <c r="U9" s="18">
        <v>0.8</v>
      </c>
      <c r="V9" s="18">
        <v>0.5</v>
      </c>
      <c r="W9" s="13" t="str">
        <f t="shared" si="4"/>
        <v>False</v>
      </c>
      <c r="X9" s="18">
        <v>0.8</v>
      </c>
      <c r="Y9" s="18">
        <v>50</v>
      </c>
      <c r="Z9" s="18">
        <v>50</v>
      </c>
      <c r="AA9" s="19">
        <v>2</v>
      </c>
      <c r="AB9" s="22">
        <v>3</v>
      </c>
      <c r="AC9" s="18">
        <v>10</v>
      </c>
      <c r="AD9" s="18">
        <v>50</v>
      </c>
      <c r="AE9" s="18">
        <v>82</v>
      </c>
      <c r="AF9" s="18">
        <v>300</v>
      </c>
      <c r="AG9" s="18">
        <v>30</v>
      </c>
      <c r="AH9" s="13" t="str">
        <f t="shared" si="5"/>
        <v>True</v>
      </c>
      <c r="AI9" s="18">
        <v>20</v>
      </c>
      <c r="AJ9" s="18">
        <v>3</v>
      </c>
      <c r="AK9" s="18">
        <v>0.8</v>
      </c>
      <c r="AL9" s="14" t="str">
        <f t="shared" si="6"/>
        <v>False</v>
      </c>
      <c r="AM9" s="23" t="e">
        <v>#N/A</v>
      </c>
      <c r="AN9" s="24" t="e">
        <v>#N/A</v>
      </c>
      <c r="AO9" s="23" t="e">
        <v>#N/A</v>
      </c>
      <c r="AP9" s="24" t="e">
        <v>#N/A</v>
      </c>
      <c r="AQ9" s="23" t="e">
        <v>#N/A</v>
      </c>
      <c r="AR9" s="24" t="e">
        <v>#N/A</v>
      </c>
      <c r="AS9" s="23" t="e">
        <v>#N/A</v>
      </c>
      <c r="AT9" s="23" t="e">
        <v>#N/A</v>
      </c>
      <c r="AU9" s="24" t="e">
        <v>#N/A</v>
      </c>
      <c r="AV9" s="23" t="e">
        <v>#N/A</v>
      </c>
      <c r="AW9" s="23" t="e">
        <v>#N/A</v>
      </c>
      <c r="AX9" s="24" t="e">
        <v>#N/A</v>
      </c>
    </row>
    <row r="10" spans="1:50" ht="51" customHeight="1" x14ac:dyDescent="0.2">
      <c r="A10" s="8" t="s">
        <v>87</v>
      </c>
      <c r="B10" s="9" t="s">
        <v>49</v>
      </c>
      <c r="C10" s="13" t="s">
        <v>50</v>
      </c>
      <c r="D10" s="14" t="s">
        <v>58</v>
      </c>
      <c r="E10" s="13" t="e">
        <f>#N/A</f>
        <v>#N/A</v>
      </c>
      <c r="F10" s="15" t="str">
        <f t="shared" si="0"/>
        <v>True</v>
      </c>
      <c r="G10" s="16" t="s">
        <v>52</v>
      </c>
      <c r="H10" s="13" t="s">
        <v>53</v>
      </c>
      <c r="I10" s="17">
        <v>2</v>
      </c>
      <c r="J10" s="13" t="str">
        <f t="shared" si="1"/>
        <v>False</v>
      </c>
      <c r="K10" s="13" t="str">
        <f t="shared" si="1"/>
        <v>False</v>
      </c>
      <c r="L10" s="19" t="s">
        <v>54</v>
      </c>
      <c r="M10" s="13" t="s">
        <v>55</v>
      </c>
      <c r="N10" s="13" t="s">
        <v>56</v>
      </c>
      <c r="O10" s="18">
        <v>300</v>
      </c>
      <c r="P10" s="19" t="str">
        <f t="shared" si="2"/>
        <v>False</v>
      </c>
      <c r="Q10" s="18">
        <v>1</v>
      </c>
      <c r="R10" s="18">
        <v>30</v>
      </c>
      <c r="S10" s="20">
        <v>1.75</v>
      </c>
      <c r="T10" s="13" t="str">
        <f t="shared" si="3"/>
        <v>False</v>
      </c>
      <c r="U10" s="18">
        <v>0.8</v>
      </c>
      <c r="V10" s="18">
        <v>0.5</v>
      </c>
      <c r="W10" s="13" t="str">
        <f t="shared" si="4"/>
        <v>False</v>
      </c>
      <c r="X10" s="18">
        <v>0.8</v>
      </c>
      <c r="Y10" s="18">
        <v>50</v>
      </c>
      <c r="Z10" s="18">
        <v>50</v>
      </c>
      <c r="AA10" s="19">
        <v>2</v>
      </c>
      <c r="AB10" s="22">
        <v>3</v>
      </c>
      <c r="AC10" s="18">
        <v>10</v>
      </c>
      <c r="AD10" s="18">
        <v>50</v>
      </c>
      <c r="AE10" s="18">
        <v>82</v>
      </c>
      <c r="AF10" s="18">
        <v>300</v>
      </c>
      <c r="AG10" s="18">
        <v>30</v>
      </c>
      <c r="AH10" s="13" t="str">
        <f t="shared" si="5"/>
        <v>True</v>
      </c>
      <c r="AI10" s="18">
        <v>20</v>
      </c>
      <c r="AJ10" s="18">
        <v>3</v>
      </c>
      <c r="AK10" s="18">
        <v>0.8</v>
      </c>
      <c r="AL10" s="14" t="str">
        <f t="shared" si="6"/>
        <v>False</v>
      </c>
      <c r="AM10" s="23" t="e">
        <v>#N/A</v>
      </c>
      <c r="AN10" s="24" t="e">
        <v>#N/A</v>
      </c>
      <c r="AO10" s="23" t="e">
        <v>#N/A</v>
      </c>
      <c r="AP10" s="24" t="e">
        <v>#N/A</v>
      </c>
      <c r="AQ10" s="23" t="e">
        <v>#N/A</v>
      </c>
      <c r="AR10" s="24" t="e">
        <v>#N/A</v>
      </c>
      <c r="AS10" s="23" t="e">
        <v>#N/A</v>
      </c>
      <c r="AT10" s="23" t="e">
        <v>#N/A</v>
      </c>
      <c r="AU10" s="24" t="e">
        <v>#N/A</v>
      </c>
      <c r="AV10" s="23" t="e">
        <v>#N/A</v>
      </c>
      <c r="AW10" s="23" t="e">
        <v>#N/A</v>
      </c>
      <c r="AX10" s="24" t="e">
        <v>#N/A</v>
      </c>
    </row>
    <row r="11" spans="1:50" ht="51" customHeight="1" x14ac:dyDescent="0.2">
      <c r="A11" s="8" t="s">
        <v>88</v>
      </c>
      <c r="B11" s="9" t="s">
        <v>49</v>
      </c>
      <c r="C11" s="13" t="s">
        <v>50</v>
      </c>
      <c r="D11" s="14" t="s">
        <v>59</v>
      </c>
      <c r="E11" s="13" t="e">
        <f>#N/A</f>
        <v>#N/A</v>
      </c>
      <c r="F11" s="15" t="str">
        <f t="shared" si="0"/>
        <v>True</v>
      </c>
      <c r="G11" s="16" t="s">
        <v>52</v>
      </c>
      <c r="H11" s="13" t="s">
        <v>53</v>
      </c>
      <c r="I11" s="17">
        <v>2</v>
      </c>
      <c r="J11" s="13" t="str">
        <f t="shared" si="1"/>
        <v>False</v>
      </c>
      <c r="K11" s="13" t="str">
        <f t="shared" si="1"/>
        <v>False</v>
      </c>
      <c r="L11" s="19" t="s">
        <v>54</v>
      </c>
      <c r="M11" s="13" t="s">
        <v>55</v>
      </c>
      <c r="N11" s="13" t="s">
        <v>56</v>
      </c>
      <c r="O11" s="18">
        <v>300</v>
      </c>
      <c r="P11" s="19" t="str">
        <f t="shared" si="2"/>
        <v>False</v>
      </c>
      <c r="Q11" s="18">
        <v>1</v>
      </c>
      <c r="R11" s="18">
        <v>30</v>
      </c>
      <c r="S11" s="20">
        <v>1.75</v>
      </c>
      <c r="T11" s="13" t="str">
        <f t="shared" si="3"/>
        <v>False</v>
      </c>
      <c r="U11" s="18">
        <v>0.8</v>
      </c>
      <c r="V11" s="18">
        <v>0.5</v>
      </c>
      <c r="W11" s="13" t="str">
        <f t="shared" si="4"/>
        <v>False</v>
      </c>
      <c r="X11" s="18">
        <v>0.8</v>
      </c>
      <c r="Y11" s="18">
        <v>50</v>
      </c>
      <c r="Z11" s="18">
        <v>50</v>
      </c>
      <c r="AA11" s="19">
        <v>2</v>
      </c>
      <c r="AB11" s="22">
        <v>3</v>
      </c>
      <c r="AC11" s="18">
        <v>10</v>
      </c>
      <c r="AD11" s="18">
        <v>50</v>
      </c>
      <c r="AE11" s="18">
        <v>82</v>
      </c>
      <c r="AF11" s="18">
        <v>300</v>
      </c>
      <c r="AG11" s="18">
        <v>30</v>
      </c>
      <c r="AH11" s="13" t="str">
        <f t="shared" si="5"/>
        <v>True</v>
      </c>
      <c r="AI11" s="18">
        <v>20</v>
      </c>
      <c r="AJ11" s="18">
        <v>3</v>
      </c>
      <c r="AK11" s="18">
        <v>0.8</v>
      </c>
      <c r="AL11" s="14" t="str">
        <f t="shared" si="6"/>
        <v>False</v>
      </c>
      <c r="AM11" s="23" t="e">
        <v>#N/A</v>
      </c>
      <c r="AN11" s="24" t="e">
        <v>#N/A</v>
      </c>
      <c r="AO11" s="23" t="e">
        <v>#N/A</v>
      </c>
      <c r="AP11" s="24" t="e">
        <v>#N/A</v>
      </c>
      <c r="AQ11" s="23" t="e">
        <v>#N/A</v>
      </c>
      <c r="AR11" s="24" t="e">
        <v>#N/A</v>
      </c>
      <c r="AS11" s="23" t="e">
        <v>#N/A</v>
      </c>
      <c r="AT11" s="23" t="e">
        <v>#N/A</v>
      </c>
      <c r="AU11" s="24" t="e">
        <v>#N/A</v>
      </c>
      <c r="AV11" s="23" t="e">
        <v>#N/A</v>
      </c>
      <c r="AW11" s="23" t="e">
        <v>#N/A</v>
      </c>
      <c r="AX11" s="24" t="e">
        <v>#N/A</v>
      </c>
    </row>
    <row r="12" spans="1:50" ht="51" customHeight="1" x14ac:dyDescent="0.2">
      <c r="A12" s="8" t="s">
        <v>68</v>
      </c>
      <c r="B12" s="9" t="s">
        <v>49</v>
      </c>
      <c r="C12" s="13" t="s">
        <v>50</v>
      </c>
      <c r="D12" s="14" t="s">
        <v>59</v>
      </c>
      <c r="E12" s="13" t="e">
        <f>#N/A</f>
        <v>#N/A</v>
      </c>
      <c r="F12" s="15" t="str">
        <f t="shared" si="0"/>
        <v>True</v>
      </c>
      <c r="G12" s="16" t="s">
        <v>52</v>
      </c>
      <c r="H12" s="13" t="s">
        <v>53</v>
      </c>
      <c r="I12" s="17">
        <v>4</v>
      </c>
      <c r="J12" s="13" t="str">
        <f t="shared" si="1"/>
        <v>False</v>
      </c>
      <c r="K12" s="13" t="str">
        <f t="shared" si="1"/>
        <v>False</v>
      </c>
      <c r="L12" s="19" t="s">
        <v>54</v>
      </c>
      <c r="M12" s="13" t="s">
        <v>55</v>
      </c>
      <c r="N12" s="13" t="s">
        <v>56</v>
      </c>
      <c r="O12" s="18">
        <v>300</v>
      </c>
      <c r="P12" s="19" t="str">
        <f t="shared" si="2"/>
        <v>False</v>
      </c>
      <c r="Q12" s="18">
        <v>1</v>
      </c>
      <c r="R12" s="18">
        <v>30</v>
      </c>
      <c r="S12" s="14">
        <v>1.5</v>
      </c>
      <c r="T12" s="13" t="str">
        <f t="shared" si="3"/>
        <v>False</v>
      </c>
      <c r="U12" s="18">
        <v>0.8</v>
      </c>
      <c r="V12" s="18">
        <v>0.5</v>
      </c>
      <c r="W12" s="13" t="str">
        <f t="shared" si="4"/>
        <v>False</v>
      </c>
      <c r="X12" s="18">
        <v>0.8</v>
      </c>
      <c r="Y12" s="18">
        <v>50</v>
      </c>
      <c r="Z12" s="18">
        <v>50</v>
      </c>
      <c r="AA12" s="19">
        <v>2</v>
      </c>
      <c r="AB12" s="22">
        <v>3</v>
      </c>
      <c r="AC12" s="18">
        <v>10</v>
      </c>
      <c r="AD12" s="18">
        <v>50</v>
      </c>
      <c r="AE12" s="18">
        <v>82</v>
      </c>
      <c r="AF12" s="18">
        <v>300</v>
      </c>
      <c r="AG12" s="18">
        <v>30</v>
      </c>
      <c r="AH12" s="13" t="str">
        <f t="shared" si="5"/>
        <v>True</v>
      </c>
      <c r="AI12" s="18">
        <v>20</v>
      </c>
      <c r="AJ12" s="18">
        <v>3</v>
      </c>
      <c r="AK12" s="18">
        <v>0.8</v>
      </c>
      <c r="AL12" s="14" t="str">
        <f t="shared" si="6"/>
        <v>False</v>
      </c>
      <c r="AM12" s="23" t="e">
        <v>#N/A</v>
      </c>
      <c r="AN12" s="24" t="e">
        <v>#N/A</v>
      </c>
      <c r="AO12" s="23" t="e">
        <v>#N/A</v>
      </c>
      <c r="AP12" s="24" t="e">
        <v>#N/A</v>
      </c>
      <c r="AQ12" s="23" t="e">
        <v>#N/A</v>
      </c>
      <c r="AR12" s="24" t="e">
        <v>#N/A</v>
      </c>
      <c r="AS12" s="23" t="e">
        <v>#N/A</v>
      </c>
      <c r="AT12" s="23" t="e">
        <v>#N/A</v>
      </c>
      <c r="AU12" s="24" t="e">
        <v>#N/A</v>
      </c>
      <c r="AV12" s="23" t="e">
        <v>#N/A</v>
      </c>
      <c r="AW12" s="23" t="e">
        <v>#N/A</v>
      </c>
      <c r="AX12" s="24" t="e">
        <v>#N/A</v>
      </c>
    </row>
    <row r="13" spans="1:50" ht="51" customHeight="1" x14ac:dyDescent="0.2">
      <c r="A13" s="8" t="s">
        <v>69</v>
      </c>
      <c r="B13" s="9" t="s">
        <v>49</v>
      </c>
      <c r="C13" s="13" t="s">
        <v>50</v>
      </c>
      <c r="D13" s="14" t="s">
        <v>59</v>
      </c>
      <c r="E13" s="13" t="e">
        <f>#N/A</f>
        <v>#N/A</v>
      </c>
      <c r="F13" s="15" t="str">
        <f t="shared" si="0"/>
        <v>True</v>
      </c>
      <c r="G13" s="16" t="s">
        <v>52</v>
      </c>
      <c r="H13" s="13" t="s">
        <v>53</v>
      </c>
      <c r="I13" s="17">
        <v>6</v>
      </c>
      <c r="J13" s="13" t="str">
        <f t="shared" si="1"/>
        <v>False</v>
      </c>
      <c r="K13" s="13" t="str">
        <f t="shared" si="1"/>
        <v>False</v>
      </c>
      <c r="L13" s="19" t="s">
        <v>54</v>
      </c>
      <c r="M13" s="13" t="s">
        <v>55</v>
      </c>
      <c r="N13" s="13" t="s">
        <v>56</v>
      </c>
      <c r="O13" s="18">
        <v>300</v>
      </c>
      <c r="P13" s="19" t="str">
        <f t="shared" si="2"/>
        <v>False</v>
      </c>
      <c r="Q13" s="18">
        <v>1</v>
      </c>
      <c r="R13" s="18">
        <v>30</v>
      </c>
      <c r="S13" s="14">
        <v>1.25</v>
      </c>
      <c r="T13" s="13" t="str">
        <f t="shared" si="3"/>
        <v>False</v>
      </c>
      <c r="U13" s="18">
        <v>0.8</v>
      </c>
      <c r="V13" s="18">
        <v>0.5</v>
      </c>
      <c r="W13" s="13" t="str">
        <f t="shared" si="4"/>
        <v>False</v>
      </c>
      <c r="X13" s="18">
        <v>0.8</v>
      </c>
      <c r="Y13" s="18">
        <v>50</v>
      </c>
      <c r="Z13" s="18">
        <v>50</v>
      </c>
      <c r="AA13" s="19">
        <v>2</v>
      </c>
      <c r="AB13" s="22">
        <v>3</v>
      </c>
      <c r="AC13" s="18">
        <v>10</v>
      </c>
      <c r="AD13" s="18">
        <v>50</v>
      </c>
      <c r="AE13" s="18">
        <v>82</v>
      </c>
      <c r="AF13" s="18">
        <v>300</v>
      </c>
      <c r="AG13" s="18">
        <v>30</v>
      </c>
      <c r="AH13" s="13" t="str">
        <f t="shared" si="5"/>
        <v>True</v>
      </c>
      <c r="AI13" s="18">
        <v>20</v>
      </c>
      <c r="AJ13" s="18">
        <v>3</v>
      </c>
      <c r="AK13" s="18">
        <v>0.8</v>
      </c>
      <c r="AL13" s="14" t="str">
        <f t="shared" si="6"/>
        <v>False</v>
      </c>
      <c r="AM13" s="23" t="e">
        <v>#N/A</v>
      </c>
      <c r="AN13" s="24" t="e">
        <v>#N/A</v>
      </c>
      <c r="AO13" s="23" t="e">
        <v>#N/A</v>
      </c>
      <c r="AP13" s="24" t="e">
        <v>#N/A</v>
      </c>
      <c r="AQ13" s="23" t="e">
        <v>#N/A</v>
      </c>
      <c r="AR13" s="24" t="e">
        <v>#N/A</v>
      </c>
      <c r="AS13" s="23" t="e">
        <v>#N/A</v>
      </c>
      <c r="AT13" s="23" t="e">
        <v>#N/A</v>
      </c>
      <c r="AU13" s="24" t="e">
        <v>#N/A</v>
      </c>
      <c r="AV13" s="23" t="e">
        <v>#N/A</v>
      </c>
      <c r="AW13" s="23" t="e">
        <v>#N/A</v>
      </c>
      <c r="AX13" s="24" t="e">
        <v>#N/A</v>
      </c>
    </row>
    <row r="14" spans="1:50" ht="51" customHeight="1" x14ac:dyDescent="0.2">
      <c r="A14" s="8" t="s">
        <v>70</v>
      </c>
      <c r="B14" s="9" t="s">
        <v>49</v>
      </c>
      <c r="C14" s="13" t="s">
        <v>50</v>
      </c>
      <c r="D14" s="14" t="s">
        <v>59</v>
      </c>
      <c r="E14" s="13" t="e">
        <f>#N/A</f>
        <v>#N/A</v>
      </c>
      <c r="F14" s="15" t="str">
        <f t="shared" si="0"/>
        <v>True</v>
      </c>
      <c r="G14" s="16" t="s">
        <v>52</v>
      </c>
      <c r="H14" s="13" t="s">
        <v>53</v>
      </c>
      <c r="I14" s="17">
        <v>8</v>
      </c>
      <c r="J14" s="13" t="str">
        <f t="shared" si="1"/>
        <v>False</v>
      </c>
      <c r="K14" s="13" t="str">
        <f t="shared" si="1"/>
        <v>False</v>
      </c>
      <c r="L14" s="19" t="s">
        <v>54</v>
      </c>
      <c r="M14" s="13" t="s">
        <v>55</v>
      </c>
      <c r="N14" s="13" t="s">
        <v>56</v>
      </c>
      <c r="O14" s="18">
        <v>300</v>
      </c>
      <c r="P14" s="19" t="str">
        <f t="shared" si="2"/>
        <v>False</v>
      </c>
      <c r="Q14" s="18">
        <v>1</v>
      </c>
      <c r="R14" s="18">
        <v>30</v>
      </c>
      <c r="S14" s="14">
        <v>0.75</v>
      </c>
      <c r="T14" s="13" t="str">
        <f t="shared" si="3"/>
        <v>False</v>
      </c>
      <c r="U14" s="18">
        <v>0.8</v>
      </c>
      <c r="V14" s="18">
        <v>0.5</v>
      </c>
      <c r="W14" s="13" t="str">
        <f t="shared" si="4"/>
        <v>False</v>
      </c>
      <c r="X14" s="18">
        <v>0.8</v>
      </c>
      <c r="Y14" s="18">
        <v>50</v>
      </c>
      <c r="Z14" s="18">
        <v>50</v>
      </c>
      <c r="AA14" s="19">
        <v>2</v>
      </c>
      <c r="AB14" s="22">
        <v>3</v>
      </c>
      <c r="AC14" s="18">
        <v>10</v>
      </c>
      <c r="AD14" s="18">
        <v>50</v>
      </c>
      <c r="AE14" s="18">
        <v>82</v>
      </c>
      <c r="AF14" s="18">
        <v>300</v>
      </c>
      <c r="AG14" s="18">
        <v>30</v>
      </c>
      <c r="AH14" s="13" t="str">
        <f t="shared" si="5"/>
        <v>True</v>
      </c>
      <c r="AI14" s="18">
        <v>20</v>
      </c>
      <c r="AJ14" s="18">
        <v>3</v>
      </c>
      <c r="AK14" s="18">
        <v>0.8</v>
      </c>
      <c r="AL14" s="14" t="str">
        <f t="shared" si="6"/>
        <v>False</v>
      </c>
      <c r="AM14" s="23" t="e">
        <v>#N/A</v>
      </c>
      <c r="AN14" s="24" t="e">
        <v>#N/A</v>
      </c>
      <c r="AO14" s="23" t="e">
        <v>#N/A</v>
      </c>
      <c r="AP14" s="24" t="e">
        <v>#N/A</v>
      </c>
      <c r="AQ14" s="23" t="e">
        <v>#N/A</v>
      </c>
      <c r="AR14" s="24" t="e">
        <v>#N/A</v>
      </c>
      <c r="AS14" s="23" t="e">
        <v>#N/A</v>
      </c>
      <c r="AT14" s="23" t="e">
        <v>#N/A</v>
      </c>
      <c r="AU14" s="24" t="e">
        <v>#N/A</v>
      </c>
      <c r="AV14" s="23" t="e">
        <v>#N/A</v>
      </c>
      <c r="AW14" s="23" t="e">
        <v>#N/A</v>
      </c>
      <c r="AX14" s="24" t="e">
        <v>#N/A</v>
      </c>
    </row>
    <row r="15" spans="1:50" ht="51" customHeight="1" x14ac:dyDescent="0.2">
      <c r="A15" s="8" t="s">
        <v>67</v>
      </c>
      <c r="B15" s="9" t="s">
        <v>49</v>
      </c>
      <c r="C15" s="13" t="s">
        <v>50</v>
      </c>
      <c r="D15" s="14" t="s">
        <v>60</v>
      </c>
      <c r="E15" s="13" t="e">
        <f>#N/A</f>
        <v>#N/A</v>
      </c>
      <c r="F15" s="15" t="str">
        <f t="shared" si="0"/>
        <v>True</v>
      </c>
      <c r="G15" s="16" t="s">
        <v>52</v>
      </c>
      <c r="H15" s="13" t="s">
        <v>53</v>
      </c>
      <c r="I15" s="17">
        <v>8</v>
      </c>
      <c r="J15" s="13" t="str">
        <f t="shared" si="1"/>
        <v>False</v>
      </c>
      <c r="K15" s="13" t="str">
        <f t="shared" si="1"/>
        <v>False</v>
      </c>
      <c r="L15" s="19" t="s">
        <v>54</v>
      </c>
      <c r="M15" s="13" t="s">
        <v>55</v>
      </c>
      <c r="N15" s="13" t="s">
        <v>56</v>
      </c>
      <c r="O15" s="18">
        <v>300</v>
      </c>
      <c r="P15" s="19" t="str">
        <f t="shared" si="2"/>
        <v>False</v>
      </c>
      <c r="Q15" s="18">
        <v>1</v>
      </c>
      <c r="R15" s="18">
        <v>30</v>
      </c>
      <c r="S15" s="14">
        <v>0.25</v>
      </c>
      <c r="T15" s="13" t="str">
        <f t="shared" si="3"/>
        <v>False</v>
      </c>
      <c r="U15" s="18">
        <v>0.8</v>
      </c>
      <c r="V15" s="18">
        <v>0.5</v>
      </c>
      <c r="W15" s="13" t="str">
        <f t="shared" si="4"/>
        <v>False</v>
      </c>
      <c r="X15" s="18">
        <v>0.8</v>
      </c>
      <c r="Y15" s="18">
        <v>50</v>
      </c>
      <c r="Z15" s="18">
        <v>50</v>
      </c>
      <c r="AA15" s="19">
        <v>2</v>
      </c>
      <c r="AB15" s="22">
        <v>3</v>
      </c>
      <c r="AC15" s="18">
        <v>10</v>
      </c>
      <c r="AD15" s="18">
        <v>50</v>
      </c>
      <c r="AE15" s="18">
        <v>82</v>
      </c>
      <c r="AF15" s="18">
        <v>300</v>
      </c>
      <c r="AG15" s="18">
        <v>30</v>
      </c>
      <c r="AH15" s="13" t="str">
        <f t="shared" si="5"/>
        <v>True</v>
      </c>
      <c r="AI15" s="18">
        <v>20</v>
      </c>
      <c r="AJ15" s="18">
        <v>3</v>
      </c>
      <c r="AK15" s="18">
        <v>0.8</v>
      </c>
      <c r="AL15" s="14" t="str">
        <f t="shared" si="6"/>
        <v>False</v>
      </c>
      <c r="AM15" s="23" t="e">
        <v>#N/A</v>
      </c>
      <c r="AN15" s="24" t="e">
        <v>#N/A</v>
      </c>
      <c r="AO15" s="23" t="e">
        <v>#N/A</v>
      </c>
      <c r="AP15" s="24" t="e">
        <v>#N/A</v>
      </c>
      <c r="AQ15" s="23" t="e">
        <v>#N/A</v>
      </c>
      <c r="AR15" s="24" t="e">
        <v>#N/A</v>
      </c>
      <c r="AS15" s="23" t="e">
        <v>#N/A</v>
      </c>
      <c r="AT15" s="23" t="e">
        <v>#N/A</v>
      </c>
      <c r="AU15" s="24" t="e">
        <v>#N/A</v>
      </c>
      <c r="AV15" s="23" t="e">
        <v>#N/A</v>
      </c>
      <c r="AW15" s="23" t="e">
        <v>#N/A</v>
      </c>
      <c r="AX15" s="24" t="e">
        <v>#N/A</v>
      </c>
    </row>
    <row r="16" spans="1:50" ht="51" customHeight="1" x14ac:dyDescent="0.2">
      <c r="A16" s="8" t="s">
        <v>73</v>
      </c>
      <c r="B16" s="9" t="s">
        <v>49</v>
      </c>
      <c r="C16" s="13" t="s">
        <v>50</v>
      </c>
      <c r="D16" s="14" t="s">
        <v>60</v>
      </c>
      <c r="E16" s="13" t="e">
        <f>#N/A</f>
        <v>#N/A</v>
      </c>
      <c r="F16" s="15" t="str">
        <f t="shared" ref="F16:F18" si="7">PROPER(FALSE)</f>
        <v>False</v>
      </c>
      <c r="G16" s="16" t="s">
        <v>52</v>
      </c>
      <c r="H16" s="13" t="s">
        <v>53</v>
      </c>
      <c r="I16" s="17">
        <v>8</v>
      </c>
      <c r="J16" s="13" t="str">
        <f t="shared" si="1"/>
        <v>False</v>
      </c>
      <c r="K16" s="13" t="str">
        <f t="shared" si="1"/>
        <v>False</v>
      </c>
      <c r="L16" s="19" t="s">
        <v>54</v>
      </c>
      <c r="M16" s="13" t="s">
        <v>55</v>
      </c>
      <c r="N16" s="13" t="s">
        <v>56</v>
      </c>
      <c r="O16" s="18">
        <v>300</v>
      </c>
      <c r="P16" s="19" t="str">
        <f t="shared" si="2"/>
        <v>False</v>
      </c>
      <c r="Q16" s="18">
        <v>1</v>
      </c>
      <c r="R16" s="18">
        <v>30</v>
      </c>
      <c r="S16" s="14">
        <v>0.25</v>
      </c>
      <c r="T16" s="13" t="str">
        <f t="shared" si="3"/>
        <v>False</v>
      </c>
      <c r="U16" s="18">
        <v>0.8</v>
      </c>
      <c r="V16" s="18">
        <v>0.5</v>
      </c>
      <c r="W16" s="13" t="str">
        <f t="shared" si="4"/>
        <v>False</v>
      </c>
      <c r="X16" s="18">
        <v>0.8</v>
      </c>
      <c r="Y16" s="18">
        <v>50</v>
      </c>
      <c r="Z16" s="18">
        <v>50</v>
      </c>
      <c r="AA16" s="19">
        <v>2</v>
      </c>
      <c r="AB16" s="22">
        <v>3</v>
      </c>
      <c r="AC16" s="18">
        <v>10</v>
      </c>
      <c r="AD16" s="18">
        <v>50</v>
      </c>
      <c r="AE16" s="18">
        <v>82</v>
      </c>
      <c r="AF16" s="18">
        <v>300</v>
      </c>
      <c r="AG16" s="18">
        <v>30</v>
      </c>
      <c r="AH16" s="13" t="str">
        <f t="shared" si="5"/>
        <v>True</v>
      </c>
      <c r="AI16" s="18">
        <v>20</v>
      </c>
      <c r="AJ16" s="18">
        <v>3</v>
      </c>
      <c r="AK16" s="18">
        <v>0.8</v>
      </c>
      <c r="AL16" s="14" t="str">
        <f t="shared" si="6"/>
        <v>False</v>
      </c>
      <c r="AM16" s="23" t="e">
        <v>#N/A</v>
      </c>
      <c r="AN16" s="24" t="e">
        <v>#N/A</v>
      </c>
      <c r="AO16" s="23" t="e">
        <v>#N/A</v>
      </c>
      <c r="AP16" s="24" t="e">
        <v>#N/A</v>
      </c>
      <c r="AQ16" s="23" t="e">
        <v>#N/A</v>
      </c>
      <c r="AR16" s="24" t="e">
        <v>#N/A</v>
      </c>
      <c r="AS16" s="23" t="e">
        <v>#N/A</v>
      </c>
      <c r="AT16" s="23" t="e">
        <v>#N/A</v>
      </c>
      <c r="AU16" s="24" t="e">
        <v>#N/A</v>
      </c>
      <c r="AV16" s="23" t="e">
        <v>#N/A</v>
      </c>
      <c r="AW16" s="23" t="e">
        <v>#N/A</v>
      </c>
      <c r="AX16" s="24" t="e">
        <v>#N/A</v>
      </c>
    </row>
    <row r="17" spans="1:50" ht="51" customHeight="1" x14ac:dyDescent="0.2">
      <c r="A17" s="8" t="s">
        <v>89</v>
      </c>
      <c r="B17" s="9" t="s">
        <v>49</v>
      </c>
      <c r="C17" s="13" t="s">
        <v>50</v>
      </c>
      <c r="D17" s="14" t="s">
        <v>60</v>
      </c>
      <c r="E17" s="13" t="e">
        <f>#N/A</f>
        <v>#N/A</v>
      </c>
      <c r="F17" s="15" t="str">
        <f t="shared" si="7"/>
        <v>False</v>
      </c>
      <c r="G17" s="16" t="s">
        <v>71</v>
      </c>
      <c r="H17" s="13" t="s">
        <v>53</v>
      </c>
      <c r="I17" s="17">
        <v>8</v>
      </c>
      <c r="J17" s="13" t="str">
        <f t="shared" si="1"/>
        <v>False</v>
      </c>
      <c r="K17" s="13" t="str">
        <f t="shared" si="1"/>
        <v>False</v>
      </c>
      <c r="L17" s="19" t="s">
        <v>54</v>
      </c>
      <c r="M17" s="13" t="s">
        <v>55</v>
      </c>
      <c r="N17" s="13" t="s">
        <v>56</v>
      </c>
      <c r="O17" s="18">
        <v>300</v>
      </c>
      <c r="P17" s="19" t="str">
        <f t="shared" si="2"/>
        <v>False</v>
      </c>
      <c r="Q17" s="18">
        <v>1</v>
      </c>
      <c r="R17" s="18">
        <v>30</v>
      </c>
      <c r="S17" s="14">
        <v>0.25</v>
      </c>
      <c r="T17" s="13" t="str">
        <f t="shared" si="3"/>
        <v>False</v>
      </c>
      <c r="U17" s="18">
        <v>0.8</v>
      </c>
      <c r="V17" s="18">
        <v>0.5</v>
      </c>
      <c r="W17" s="13" t="str">
        <f t="shared" si="4"/>
        <v>False</v>
      </c>
      <c r="X17" s="18">
        <v>0.8</v>
      </c>
      <c r="Y17" s="18">
        <v>50</v>
      </c>
      <c r="Z17" s="18">
        <v>50</v>
      </c>
      <c r="AA17" s="19">
        <v>2</v>
      </c>
      <c r="AB17" s="22">
        <v>3</v>
      </c>
      <c r="AC17" s="18">
        <v>10</v>
      </c>
      <c r="AD17" s="18">
        <v>50</v>
      </c>
      <c r="AE17" s="18">
        <v>82</v>
      </c>
      <c r="AF17" s="18">
        <v>300</v>
      </c>
      <c r="AG17" s="18">
        <v>30</v>
      </c>
      <c r="AH17" s="13" t="str">
        <f t="shared" si="5"/>
        <v>True</v>
      </c>
      <c r="AI17" s="18">
        <v>20</v>
      </c>
      <c r="AJ17" s="18">
        <v>3</v>
      </c>
      <c r="AK17" s="18">
        <v>0.8</v>
      </c>
      <c r="AL17" s="14" t="str">
        <f t="shared" si="6"/>
        <v>False</v>
      </c>
      <c r="AM17" s="23" t="e">
        <v>#N/A</v>
      </c>
      <c r="AN17" s="24" t="e">
        <v>#N/A</v>
      </c>
      <c r="AO17" s="23" t="e">
        <v>#N/A</v>
      </c>
      <c r="AP17" s="24" t="e">
        <v>#N/A</v>
      </c>
      <c r="AQ17" s="23" t="e">
        <v>#N/A</v>
      </c>
      <c r="AR17" s="24" t="e">
        <v>#N/A</v>
      </c>
      <c r="AS17" s="23" t="e">
        <v>#N/A</v>
      </c>
      <c r="AT17" s="23" t="e">
        <v>#N/A</v>
      </c>
      <c r="AU17" s="24" t="e">
        <v>#N/A</v>
      </c>
      <c r="AV17" s="23" t="e">
        <v>#N/A</v>
      </c>
      <c r="AW17" s="23" t="e">
        <v>#N/A</v>
      </c>
      <c r="AX17" s="24" t="e">
        <v>#N/A</v>
      </c>
    </row>
    <row r="18" spans="1:50" ht="51" customHeight="1" x14ac:dyDescent="0.2">
      <c r="A18" s="8" t="s">
        <v>90</v>
      </c>
      <c r="B18" s="9" t="s">
        <v>49</v>
      </c>
      <c r="C18" s="13" t="s">
        <v>50</v>
      </c>
      <c r="D18" s="14" t="s">
        <v>60</v>
      </c>
      <c r="E18" s="13" t="e">
        <f>#N/A</f>
        <v>#N/A</v>
      </c>
      <c r="F18" s="15" t="str">
        <f t="shared" si="7"/>
        <v>False</v>
      </c>
      <c r="G18" s="16" t="s">
        <v>71</v>
      </c>
      <c r="H18" s="13" t="s">
        <v>53</v>
      </c>
      <c r="I18" s="17">
        <v>8</v>
      </c>
      <c r="J18" s="13" t="str">
        <f t="shared" si="1"/>
        <v>False</v>
      </c>
      <c r="K18" s="13" t="str">
        <f t="shared" si="1"/>
        <v>False</v>
      </c>
      <c r="L18" s="19" t="s">
        <v>54</v>
      </c>
      <c r="M18" s="13" t="s">
        <v>55</v>
      </c>
      <c r="N18" s="13" t="s">
        <v>56</v>
      </c>
      <c r="O18" s="18">
        <v>300</v>
      </c>
      <c r="P18" s="19" t="str">
        <f t="shared" si="2"/>
        <v>False</v>
      </c>
      <c r="Q18" s="18">
        <v>1</v>
      </c>
      <c r="R18" s="18">
        <v>30</v>
      </c>
      <c r="S18" s="14">
        <v>0.25</v>
      </c>
      <c r="T18" s="13" t="str">
        <f t="shared" si="3"/>
        <v>False</v>
      </c>
      <c r="U18" s="18">
        <v>0.8</v>
      </c>
      <c r="V18" s="18">
        <v>0.5</v>
      </c>
      <c r="W18" s="13" t="str">
        <f t="shared" si="4"/>
        <v>False</v>
      </c>
      <c r="X18" s="18">
        <v>0.8</v>
      </c>
      <c r="Y18" s="18">
        <v>50</v>
      </c>
      <c r="Z18" s="18">
        <v>50</v>
      </c>
      <c r="AA18" s="19">
        <v>2</v>
      </c>
      <c r="AB18" s="22">
        <v>3</v>
      </c>
      <c r="AC18" s="18">
        <v>10</v>
      </c>
      <c r="AD18" s="18">
        <v>50</v>
      </c>
      <c r="AE18" s="18">
        <v>82</v>
      </c>
      <c r="AF18" s="18">
        <v>300</v>
      </c>
      <c r="AG18" s="18">
        <v>30</v>
      </c>
      <c r="AH18" s="13" t="str">
        <f t="shared" si="5"/>
        <v>True</v>
      </c>
      <c r="AI18" s="18">
        <v>20</v>
      </c>
      <c r="AJ18" s="18">
        <v>3</v>
      </c>
      <c r="AK18" s="18">
        <v>0.8</v>
      </c>
      <c r="AL18" s="15" t="str">
        <f t="shared" ref="AL18" si="8">PROPER(TRUE)</f>
        <v>True</v>
      </c>
      <c r="AM18" s="23" t="s">
        <v>74</v>
      </c>
      <c r="AN18" s="24" t="e">
        <v>#N/A</v>
      </c>
      <c r="AO18" s="23">
        <v>30</v>
      </c>
      <c r="AP18" s="24" t="e">
        <v>#N/A</v>
      </c>
      <c r="AQ18" s="23" t="s">
        <v>75</v>
      </c>
      <c r="AR18" s="24" t="e">
        <v>#N/A</v>
      </c>
      <c r="AS18" s="23" t="s">
        <v>25</v>
      </c>
      <c r="AT18" s="23" t="s">
        <v>76</v>
      </c>
      <c r="AU18" s="24" t="e">
        <v>#N/A</v>
      </c>
      <c r="AV18" s="23" t="s">
        <v>77</v>
      </c>
      <c r="AW18" s="23" t="s">
        <v>78</v>
      </c>
      <c r="AX18" s="24" t="e">
        <v>#N/A</v>
      </c>
    </row>
    <row r="19" spans="1:50" s="25" customFormat="1" ht="187" x14ac:dyDescent="0.2">
      <c r="B19" s="26"/>
      <c r="L19" s="27" t="s">
        <v>82</v>
      </c>
      <c r="P19" s="27" t="s">
        <v>65</v>
      </c>
      <c r="S19" s="27" t="s">
        <v>81</v>
      </c>
      <c r="AA19" s="27" t="s">
        <v>72</v>
      </c>
      <c r="AB19" s="27" t="s">
        <v>64</v>
      </c>
    </row>
    <row r="20" spans="1:50" x14ac:dyDescent="0.2">
      <c r="B20" s="5"/>
    </row>
    <row r="21" spans="1:50" x14ac:dyDescent="0.2">
      <c r="B21" s="6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Lee, Kay</dc:creator>
  <cp:lastModifiedBy>Lee, Kay</cp:lastModifiedBy>
  <dcterms:created xsi:type="dcterms:W3CDTF">2025-11-07T10:22:09Z</dcterms:created>
  <dcterms:modified xsi:type="dcterms:W3CDTF">2025-11-07T18:04:21Z</dcterms:modified>
</cp:coreProperties>
</file>