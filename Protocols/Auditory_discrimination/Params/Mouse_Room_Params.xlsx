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\Documents\repos\behaviour_rig\Params\"/>
    </mc:Choice>
  </mc:AlternateContent>
  <xr:revisionPtr revIDLastSave="0" documentId="13_ncr:1_{6D1A8233-E471-4F8A-8ECF-0F0F25133A02}" xr6:coauthVersionLast="47" xr6:coauthVersionMax="47" xr10:uidLastSave="{00000000-0000-0000-0000-000000000000}"/>
  <bookViews>
    <workbookView xWindow="2940" yWindow="2940" windowWidth="25395" windowHeight="11685" xr2:uid="{00000000-000D-0000-FFFF-FFFF00000000}"/>
  </bookViews>
  <sheets>
    <sheet name="Param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6" i="1" l="1"/>
  <c r="AG36" i="1"/>
  <c r="V36" i="1"/>
  <c r="S36" i="1"/>
  <c r="O36" i="1"/>
  <c r="J36" i="1"/>
  <c r="I36" i="1"/>
  <c r="E36" i="1"/>
  <c r="AK35" i="1"/>
  <c r="AG35" i="1"/>
  <c r="V35" i="1"/>
  <c r="S35" i="1"/>
  <c r="O35" i="1"/>
  <c r="J35" i="1"/>
  <c r="I35" i="1"/>
  <c r="E35" i="1"/>
  <c r="AK34" i="1"/>
  <c r="AG34" i="1"/>
  <c r="V34" i="1"/>
  <c r="S34" i="1"/>
  <c r="O34" i="1"/>
  <c r="J34" i="1"/>
  <c r="I34" i="1"/>
  <c r="E34" i="1"/>
  <c r="AK33" i="1"/>
  <c r="AG33" i="1"/>
  <c r="V33" i="1"/>
  <c r="S33" i="1"/>
  <c r="O33" i="1"/>
  <c r="J33" i="1"/>
  <c r="I33" i="1"/>
  <c r="E33" i="1"/>
  <c r="AK32" i="1"/>
  <c r="AG32" i="1"/>
  <c r="V32" i="1"/>
  <c r="S32" i="1"/>
  <c r="O32" i="1"/>
  <c r="J32" i="1"/>
  <c r="I32" i="1"/>
  <c r="E32" i="1"/>
  <c r="AK31" i="1"/>
  <c r="AG31" i="1"/>
  <c r="V31" i="1"/>
  <c r="S31" i="1"/>
  <c r="O31" i="1"/>
  <c r="J31" i="1"/>
  <c r="I31" i="1"/>
  <c r="E31" i="1"/>
  <c r="D31" i="1"/>
  <c r="AK30" i="1"/>
  <c r="AG30" i="1"/>
  <c r="V30" i="1"/>
  <c r="S30" i="1"/>
  <c r="O30" i="1"/>
  <c r="J30" i="1"/>
  <c r="I30" i="1"/>
  <c r="E30" i="1"/>
  <c r="D30" i="1"/>
  <c r="AK29" i="1"/>
  <c r="AG29" i="1"/>
  <c r="V29" i="1"/>
  <c r="S29" i="1"/>
  <c r="O29" i="1"/>
  <c r="J29" i="1"/>
  <c r="I29" i="1"/>
  <c r="E29" i="1"/>
  <c r="D29" i="1"/>
  <c r="AK28" i="1"/>
  <c r="AG28" i="1"/>
  <c r="V28" i="1"/>
  <c r="S28" i="1"/>
  <c r="O28" i="1"/>
  <c r="J28" i="1"/>
  <c r="I28" i="1"/>
  <c r="E28" i="1"/>
  <c r="AK27" i="1"/>
  <c r="AG27" i="1"/>
  <c r="V27" i="1"/>
  <c r="S27" i="1"/>
  <c r="O27" i="1"/>
  <c r="J27" i="1"/>
  <c r="I27" i="1"/>
  <c r="E27" i="1"/>
  <c r="AK26" i="1"/>
  <c r="AG26" i="1"/>
  <c r="V26" i="1"/>
  <c r="S26" i="1"/>
  <c r="O26" i="1"/>
  <c r="J26" i="1"/>
  <c r="I26" i="1"/>
  <c r="E26" i="1"/>
  <c r="AK25" i="1"/>
  <c r="AG25" i="1"/>
  <c r="V25" i="1"/>
  <c r="S25" i="1"/>
  <c r="O25" i="1"/>
  <c r="J25" i="1"/>
  <c r="I25" i="1"/>
  <c r="E25" i="1"/>
  <c r="AK24" i="1"/>
  <c r="AG24" i="1"/>
  <c r="V24" i="1"/>
  <c r="S24" i="1"/>
  <c r="O24" i="1"/>
  <c r="J24" i="1"/>
  <c r="I24" i="1"/>
  <c r="E24" i="1"/>
  <c r="AK23" i="1"/>
  <c r="AG23" i="1"/>
  <c r="V23" i="1"/>
  <c r="S23" i="1"/>
  <c r="O23" i="1"/>
  <c r="J23" i="1"/>
  <c r="I23" i="1"/>
  <c r="E23" i="1"/>
  <c r="AK22" i="1"/>
  <c r="AG22" i="1"/>
  <c r="V22" i="1"/>
  <c r="S22" i="1"/>
  <c r="O22" i="1"/>
  <c r="J22" i="1"/>
  <c r="I22" i="1"/>
  <c r="E22" i="1"/>
  <c r="AK21" i="1"/>
  <c r="AG21" i="1"/>
  <c r="V21" i="1"/>
  <c r="S21" i="1"/>
  <c r="O21" i="1"/>
  <c r="J21" i="1"/>
  <c r="I21" i="1"/>
  <c r="E21" i="1"/>
  <c r="AK20" i="1"/>
  <c r="AG20" i="1"/>
  <c r="V20" i="1"/>
  <c r="S20" i="1"/>
  <c r="O20" i="1"/>
  <c r="J20" i="1"/>
  <c r="I20" i="1"/>
  <c r="E20" i="1"/>
  <c r="AK19" i="1"/>
  <c r="AG19" i="1"/>
  <c r="V19" i="1"/>
  <c r="S19" i="1"/>
  <c r="O19" i="1"/>
  <c r="J19" i="1"/>
  <c r="I19" i="1"/>
  <c r="E19" i="1"/>
  <c r="AK18" i="1"/>
  <c r="AG18" i="1"/>
  <c r="V18" i="1"/>
  <c r="S18" i="1"/>
  <c r="O18" i="1"/>
  <c r="J18" i="1"/>
  <c r="I18" i="1"/>
  <c r="E18" i="1"/>
  <c r="AK17" i="1"/>
  <c r="AG17" i="1"/>
  <c r="V17" i="1"/>
  <c r="S17" i="1"/>
  <c r="O17" i="1"/>
  <c r="J17" i="1"/>
  <c r="I17" i="1"/>
  <c r="E17" i="1"/>
  <c r="AW5" i="1"/>
</calcChain>
</file>

<file path=xl/sharedStrings.xml><?xml version="1.0" encoding="utf-8"?>
<sst xmlns="http://schemas.openxmlformats.org/spreadsheetml/2006/main" count="352" uniqueCount="108">
  <si>
    <t>Subject</t>
  </si>
  <si>
    <t>Protocol</t>
  </si>
  <si>
    <t>Stage</t>
  </si>
  <si>
    <t>AntiBias</t>
  </si>
  <si>
    <t>Distribution</t>
  </si>
  <si>
    <t>Stim_Type</t>
  </si>
  <si>
    <t>Nb_Of_Stim</t>
  </si>
  <si>
    <t>Emulator</t>
  </si>
  <si>
    <t>Rig</t>
  </si>
  <si>
    <t>WN</t>
  </si>
  <si>
    <t>Uniform</t>
  </si>
  <si>
    <t>TEST</t>
  </si>
  <si>
    <t>Opto_ON</t>
  </si>
  <si>
    <t>Perc_Opto_Trials</t>
  </si>
  <si>
    <t>Light_Freq (Hz)</t>
  </si>
  <si>
    <t>Opto_Duration</t>
  </si>
  <si>
    <t>Arduino</t>
  </si>
  <si>
    <t>Unilateral_Right</t>
  </si>
  <si>
    <t>Stimulation_Type</t>
  </si>
  <si>
    <t>Stimulation_Site</t>
  </si>
  <si>
    <t>Air_Puff_Contingency_Rule</t>
  </si>
  <si>
    <t>Show_Contingency_Switches</t>
  </si>
  <si>
    <t>Sound_Contingency</t>
  </si>
  <si>
    <t>Sound_Air_Puff_Contingency</t>
  </si>
  <si>
    <t>Sound_Duration</t>
  </si>
  <si>
    <t>AntiBias_Exp_Rate</t>
  </si>
  <si>
    <t>AntiBias_Window</t>
  </si>
  <si>
    <t>AntiBias_Sigmoid_Slope</t>
  </si>
  <si>
    <t>Low_Left_High_Right</t>
  </si>
  <si>
    <t>Low_Pro_High_Anti</t>
  </si>
  <si>
    <t>Opto_Onset_1</t>
  </si>
  <si>
    <t>Opto_Onset_2</t>
  </si>
  <si>
    <t>Opto_Offset_1</t>
  </si>
  <si>
    <t>Opto_Offset_2</t>
  </si>
  <si>
    <t>Inter_Trial_Interval</t>
  </si>
  <si>
    <t>Full_Task_Cont</t>
  </si>
  <si>
    <t>Agent_Sim</t>
  </si>
  <si>
    <t>Agent_Performance</t>
  </si>
  <si>
    <t>Agent_Bias</t>
  </si>
  <si>
    <t>Stim_Dur_Staircase</t>
  </si>
  <si>
    <t>Stim_Dur_Staircase_Perf_Thresh</t>
  </si>
  <si>
    <t>Stim_Dur_Staircase_Step</t>
  </si>
  <si>
    <t>Min_Stim_Dur</t>
  </si>
  <si>
    <t>SOUND_CAT</t>
  </si>
  <si>
    <t>Full_Task_Disc</t>
  </si>
  <si>
    <t>Opto_Type</t>
  </si>
  <si>
    <t>Zapit_Nb_Conditions</t>
  </si>
  <si>
    <t>Timeout_Duration</t>
  </si>
  <si>
    <t>Response_Window</t>
  </si>
  <si>
    <t>Stim_Range_Min</t>
  </si>
  <si>
    <t>Stim_Range_Max</t>
  </si>
  <si>
    <t>Go_Cue_Duration</t>
  </si>
  <si>
    <t>Visualiser_Window_Size</t>
  </si>
  <si>
    <t>Working_Memory_Type</t>
  </si>
  <si>
    <t>Fixed</t>
  </si>
  <si>
    <t>Stable_Start</t>
  </si>
  <si>
    <t>Stable_Start_Window</t>
  </si>
  <si>
    <t>Max_Trials_Consec</t>
  </si>
  <si>
    <t>Stable_Stim_Dist_Boundary</t>
  </si>
  <si>
    <t>Fiber</t>
  </si>
  <si>
    <t>Sound</t>
  </si>
  <si>
    <t>Feedback</t>
  </si>
  <si>
    <t>ALM</t>
  </si>
  <si>
    <t>SS01</t>
  </si>
  <si>
    <t>SS04</t>
  </si>
  <si>
    <t>QP0176</t>
  </si>
  <si>
    <t>PRO_ANTI</t>
  </si>
  <si>
    <t>Blocks_15</t>
  </si>
  <si>
    <t>Low_Anti_High_Pro</t>
  </si>
  <si>
    <t>QP0177</t>
  </si>
  <si>
    <t>Random_Alternation</t>
  </si>
  <si>
    <t>QP0178</t>
  </si>
  <si>
    <t>QP0179</t>
  </si>
  <si>
    <t>QP0180</t>
  </si>
  <si>
    <t>QP0191</t>
  </si>
  <si>
    <t>QP0195</t>
  </si>
  <si>
    <t>QP0196</t>
  </si>
  <si>
    <t>QP0197</t>
  </si>
  <si>
    <t>QP0198</t>
  </si>
  <si>
    <t>QP0199</t>
  </si>
  <si>
    <t>Blocks_30</t>
  </si>
  <si>
    <t>QP0200</t>
  </si>
  <si>
    <t>QP0201</t>
  </si>
  <si>
    <t>QP0202</t>
  </si>
  <si>
    <t>Low_Right_High_Left</t>
  </si>
  <si>
    <t>QP0203</t>
  </si>
  <si>
    <t>QP0204</t>
  </si>
  <si>
    <t>QP0205</t>
  </si>
  <si>
    <t>Pro_Only</t>
  </si>
  <si>
    <t>QP0206</t>
  </si>
  <si>
    <t>QP0207</t>
  </si>
  <si>
    <t>Three_And_Three</t>
  </si>
  <si>
    <t>QP0208</t>
  </si>
  <si>
    <t>Anti_Only</t>
  </si>
  <si>
    <t>Habituation</t>
  </si>
  <si>
    <t>TEST_Habi</t>
  </si>
  <si>
    <t>TEST_Lick</t>
  </si>
  <si>
    <t>TEST_3N3</t>
  </si>
  <si>
    <t>Lick_To_Release</t>
  </si>
  <si>
    <t>SS05</t>
  </si>
  <si>
    <t>SS06</t>
  </si>
  <si>
    <t>SS07</t>
  </si>
  <si>
    <t>SS08</t>
  </si>
  <si>
    <t>SS09</t>
  </si>
  <si>
    <t>SS10</t>
  </si>
  <si>
    <t>SS11</t>
  </si>
  <si>
    <t>SS12</t>
  </si>
  <si>
    <t>SS13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</si>
</sst>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quotePrefix="1"/>
    <xf numFmtId="0" fontId="1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6"/>
  <sheetViews>
    <sheetView tabSelected="1" zoomScaleNormal="140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R10" sqref="R10"/>
    </sheetView>
  </sheetViews>
  <sheetFormatPr defaultColWidth="8.85546875" defaultRowHeight="15" x14ac:dyDescent="0.25"/>
  <cols>
    <col min="1" max="1" width="12" customWidth="1"/>
    <col min="2" max="2" width="14.42578125" customWidth="1"/>
    <col min="3" max="3" width="17.42578125" customWidth="1"/>
    <col min="4" max="4" width="27.42578125" customWidth="1"/>
    <col min="6" max="6" width="14.42578125" customWidth="1"/>
    <col min="7" max="8" width="13.42578125" customWidth="1"/>
    <col min="9" max="9" width="11" customWidth="1"/>
    <col min="10" max="10" width="30.42578125" customWidth="1"/>
    <col min="11" max="11" width="22.85546875" customWidth="1"/>
    <col min="12" max="12" width="28.42578125" customWidth="1"/>
    <col min="13" max="13" width="24.140625" customWidth="1"/>
    <col min="14" max="14" width="16.42578125" customWidth="1"/>
    <col min="15" max="15" width="14.42578125" customWidth="1"/>
    <col min="16" max="16" width="23" customWidth="1"/>
    <col min="17" max="17" width="22.42578125" customWidth="1"/>
    <col min="18" max="22" width="23" customWidth="1"/>
    <col min="23" max="23" width="33.42578125" customWidth="1"/>
    <col min="24" max="35" width="24.42578125" customWidth="1"/>
    <col min="36" max="36" width="26.42578125" customWidth="1"/>
    <col min="37" max="38" width="15.42578125" customWidth="1"/>
    <col min="39" max="39" width="28.42578125" customWidth="1"/>
    <col min="40" max="40" width="18" customWidth="1"/>
    <col min="41" max="41" width="14.42578125" customWidth="1"/>
    <col min="42" max="43" width="15.140625" customWidth="1"/>
    <col min="44" max="44" width="19.42578125" customWidth="1"/>
    <col min="45" max="45" width="18.42578125" customWidth="1"/>
    <col min="46" max="46" width="17.140625" customWidth="1"/>
    <col min="47" max="47" width="19.42578125" customWidth="1"/>
    <col min="48" max="48" width="18.42578125" customWidth="1"/>
  </cols>
  <sheetData>
    <row r="1" spans="1:49" ht="42" customHeight="1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23</v>
      </c>
      <c r="M1" s="1" t="s">
        <v>53</v>
      </c>
      <c r="N1" s="1" t="s">
        <v>24</v>
      </c>
      <c r="O1" s="1" t="s">
        <v>16</v>
      </c>
      <c r="P1" s="1" t="s">
        <v>25</v>
      </c>
      <c r="Q1" s="1" t="s">
        <v>26</v>
      </c>
      <c r="R1" s="1" t="s">
        <v>27</v>
      </c>
      <c r="S1" s="4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34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12</v>
      </c>
      <c r="AL1" s="1" t="s">
        <v>45</v>
      </c>
      <c r="AM1" s="1" t="s">
        <v>46</v>
      </c>
      <c r="AN1" s="1" t="s">
        <v>13</v>
      </c>
      <c r="AO1" s="1" t="s">
        <v>14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15</v>
      </c>
      <c r="AU1" s="1" t="s">
        <v>19</v>
      </c>
      <c r="AV1" s="1" t="s">
        <v>18</v>
      </c>
      <c r="AW1" s="1" t="s">
        <v>8</v>
      </c>
    </row>
    <row r="2" spans="1:49" ht="15.75" customHeight="1" x14ac:dyDescent="0.25">
      <c r="A2" s="1" t="s">
        <v>95</v>
      </c>
      <c r="B2" t="s">
        <v>43</v>
      </c>
      <c r="C2" t="s">
        <v>94</v>
      </c>
      <c r="D2" t="e">
        <v>#N/A</v>
      </c>
      <c r="E2" t="b">
        <v>1</v>
      </c>
      <c r="F2" t="s">
        <v>10</v>
      </c>
      <c r="G2" t="s">
        <v>9</v>
      </c>
      <c r="H2">
        <v>2</v>
      </c>
      <c r="I2" t="b">
        <v>0</v>
      </c>
      <c r="J2" t="b">
        <v>0</v>
      </c>
      <c r="K2" t="s">
        <v>28</v>
      </c>
      <c r="L2" t="s">
        <v>29</v>
      </c>
      <c r="M2" t="s">
        <v>54</v>
      </c>
      <c r="N2">
        <v>300</v>
      </c>
      <c r="O2" t="b">
        <v>0</v>
      </c>
      <c r="P2">
        <v>1</v>
      </c>
      <c r="Q2">
        <v>30</v>
      </c>
      <c r="R2">
        <v>1.75</v>
      </c>
      <c r="S2" t="b">
        <v>0</v>
      </c>
      <c r="T2">
        <v>0.8</v>
      </c>
      <c r="U2">
        <v>0.5</v>
      </c>
      <c r="V2" t="b">
        <v>0</v>
      </c>
      <c r="W2">
        <v>0.8</v>
      </c>
      <c r="X2">
        <v>50</v>
      </c>
      <c r="Y2">
        <v>50</v>
      </c>
      <c r="Z2">
        <v>10</v>
      </c>
      <c r="AA2">
        <v>3</v>
      </c>
      <c r="AB2">
        <v>10</v>
      </c>
      <c r="AC2">
        <v>50</v>
      </c>
      <c r="AD2">
        <v>82</v>
      </c>
      <c r="AE2">
        <v>300</v>
      </c>
      <c r="AF2">
        <v>30</v>
      </c>
      <c r="AG2" t="b">
        <v>1</v>
      </c>
      <c r="AH2">
        <v>20</v>
      </c>
      <c r="AI2">
        <v>3</v>
      </c>
      <c r="AJ2">
        <v>0.8</v>
      </c>
      <c r="AK2" t="b">
        <v>0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</row>
    <row r="3" spans="1:49" ht="15.75" customHeight="1" x14ac:dyDescent="0.25">
      <c r="A3" s="1" t="s">
        <v>96</v>
      </c>
      <c r="B3" t="s">
        <v>43</v>
      </c>
      <c r="C3" t="s">
        <v>98</v>
      </c>
      <c r="D3" t="e">
        <v>#N/A</v>
      </c>
      <c r="E3" t="b">
        <v>1</v>
      </c>
      <c r="F3" t="s">
        <v>10</v>
      </c>
      <c r="G3" t="s">
        <v>9</v>
      </c>
      <c r="H3">
        <v>2</v>
      </c>
      <c r="I3" t="b">
        <v>0</v>
      </c>
      <c r="J3" t="b">
        <v>0</v>
      </c>
      <c r="K3" t="s">
        <v>28</v>
      </c>
      <c r="L3" t="s">
        <v>29</v>
      </c>
      <c r="M3" t="s">
        <v>54</v>
      </c>
      <c r="N3">
        <v>300</v>
      </c>
      <c r="O3" t="b">
        <v>0</v>
      </c>
      <c r="P3">
        <v>1</v>
      </c>
      <c r="Q3">
        <v>30</v>
      </c>
      <c r="R3">
        <v>1.75</v>
      </c>
      <c r="S3" t="b">
        <v>0</v>
      </c>
      <c r="T3">
        <v>0.8</v>
      </c>
      <c r="U3">
        <v>0.5</v>
      </c>
      <c r="V3" t="b">
        <v>0</v>
      </c>
      <c r="W3">
        <v>0.8</v>
      </c>
      <c r="X3">
        <v>50</v>
      </c>
      <c r="Y3">
        <v>50</v>
      </c>
      <c r="Z3">
        <v>2</v>
      </c>
      <c r="AA3">
        <v>3</v>
      </c>
      <c r="AB3">
        <v>10</v>
      </c>
      <c r="AC3">
        <v>50</v>
      </c>
      <c r="AD3">
        <v>82</v>
      </c>
      <c r="AE3">
        <v>300</v>
      </c>
      <c r="AF3">
        <v>30</v>
      </c>
      <c r="AG3" t="b">
        <v>1</v>
      </c>
      <c r="AH3">
        <v>20</v>
      </c>
      <c r="AI3">
        <v>3</v>
      </c>
      <c r="AJ3">
        <v>0.8</v>
      </c>
      <c r="AK3" t="b">
        <v>0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  <c r="AW3" t="e">
        <v>#N/A</v>
      </c>
    </row>
    <row r="4" spans="1:49" x14ac:dyDescent="0.25">
      <c r="A4" s="1" t="s">
        <v>97</v>
      </c>
      <c r="B4" t="s">
        <v>43</v>
      </c>
      <c r="C4" t="s">
        <v>91</v>
      </c>
      <c r="D4" t="e">
        <v>#N/A</v>
      </c>
      <c r="E4" t="b">
        <v>1</v>
      </c>
      <c r="F4" t="s">
        <v>10</v>
      </c>
      <c r="G4" t="s">
        <v>9</v>
      </c>
      <c r="H4">
        <v>2</v>
      </c>
      <c r="I4" t="b">
        <v>0</v>
      </c>
      <c r="J4" t="b">
        <v>0</v>
      </c>
      <c r="K4" t="s">
        <v>28</v>
      </c>
      <c r="L4" t="s">
        <v>29</v>
      </c>
      <c r="M4" t="s">
        <v>54</v>
      </c>
      <c r="N4">
        <v>300</v>
      </c>
      <c r="O4" t="b">
        <v>0</v>
      </c>
      <c r="P4">
        <v>1</v>
      </c>
      <c r="Q4">
        <v>30</v>
      </c>
      <c r="R4">
        <v>1.75</v>
      </c>
      <c r="S4" t="b">
        <v>0</v>
      </c>
      <c r="T4">
        <v>0.8</v>
      </c>
      <c r="U4">
        <v>0.5</v>
      </c>
      <c r="V4" t="b">
        <v>0</v>
      </c>
      <c r="W4">
        <v>0.8</v>
      </c>
      <c r="X4">
        <v>50</v>
      </c>
      <c r="Y4">
        <v>50</v>
      </c>
      <c r="Z4">
        <v>2</v>
      </c>
      <c r="AA4">
        <v>3</v>
      </c>
      <c r="AB4">
        <v>10</v>
      </c>
      <c r="AC4">
        <v>50</v>
      </c>
      <c r="AD4">
        <v>82</v>
      </c>
      <c r="AE4">
        <v>300</v>
      </c>
      <c r="AF4">
        <v>30</v>
      </c>
      <c r="AG4" t="b">
        <v>1</v>
      </c>
      <c r="AH4">
        <v>20</v>
      </c>
      <c r="AI4">
        <v>3</v>
      </c>
      <c r="AJ4">
        <v>0.8</v>
      </c>
      <c r="AK4" t="b">
        <v>0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</row>
    <row r="5" spans="1:49" ht="15.75" customHeight="1" x14ac:dyDescent="0.25">
      <c r="A5" s="1" t="s">
        <v>11</v>
      </c>
      <c r="B5" t="s">
        <v>43</v>
      </c>
      <c r="C5" t="s">
        <v>35</v>
      </c>
      <c r="D5" t="e">
        <v>#N/A</v>
      </c>
      <c r="E5" t="b">
        <v>0</v>
      </c>
      <c r="F5" t="s">
        <v>10</v>
      </c>
      <c r="G5" t="s">
        <v>9</v>
      </c>
      <c r="H5" s="2">
        <v>8</v>
      </c>
      <c r="I5" t="b">
        <v>0</v>
      </c>
      <c r="J5" t="b">
        <v>0</v>
      </c>
      <c r="K5" t="s">
        <v>28</v>
      </c>
      <c r="L5" t="s">
        <v>29</v>
      </c>
      <c r="M5" t="s">
        <v>54</v>
      </c>
      <c r="N5" s="3">
        <v>300</v>
      </c>
      <c r="O5" t="b">
        <v>0</v>
      </c>
      <c r="P5" s="3">
        <v>1</v>
      </c>
      <c r="Q5" s="3">
        <v>30</v>
      </c>
      <c r="R5" s="3">
        <v>1</v>
      </c>
      <c r="S5" t="b">
        <v>0</v>
      </c>
      <c r="T5" s="3">
        <v>0.8</v>
      </c>
      <c r="U5" s="3">
        <v>0.5</v>
      </c>
      <c r="V5" t="b">
        <v>0</v>
      </c>
      <c r="W5" s="3">
        <v>0.8</v>
      </c>
      <c r="X5" s="3">
        <v>50</v>
      </c>
      <c r="Y5" s="3">
        <v>50</v>
      </c>
      <c r="Z5" s="3">
        <v>2</v>
      </c>
      <c r="AA5" s="3">
        <v>5</v>
      </c>
      <c r="AB5" s="3">
        <v>10</v>
      </c>
      <c r="AC5" s="3">
        <v>50</v>
      </c>
      <c r="AD5" s="3">
        <v>82</v>
      </c>
      <c r="AE5" s="3">
        <v>300</v>
      </c>
      <c r="AF5" s="3">
        <v>30</v>
      </c>
      <c r="AG5" t="b">
        <v>1</v>
      </c>
      <c r="AH5" s="3">
        <v>20</v>
      </c>
      <c r="AI5" s="3">
        <v>2</v>
      </c>
      <c r="AJ5" s="3">
        <v>0.8</v>
      </c>
      <c r="AK5" t="b">
        <v>0</v>
      </c>
      <c r="AL5" s="5" t="s">
        <v>59</v>
      </c>
      <c r="AM5" s="5" t="e">
        <v>#N/A</v>
      </c>
      <c r="AN5" s="5">
        <v>30</v>
      </c>
      <c r="AO5" s="5" t="e">
        <v>#N/A</v>
      </c>
      <c r="AP5" s="5" t="s">
        <v>60</v>
      </c>
      <c r="AQ5" s="5" t="e">
        <v>#N/A</v>
      </c>
      <c r="AR5" s="5" t="s">
        <v>61</v>
      </c>
      <c r="AS5" s="5" t="s">
        <v>34</v>
      </c>
      <c r="AT5" s="5" t="e">
        <v>#N/A</v>
      </c>
      <c r="AU5" s="5" t="s">
        <v>17</v>
      </c>
      <c r="AV5" s="5" t="s">
        <v>62</v>
      </c>
      <c r="AW5" t="e">
        <f>#N/A</f>
        <v>#N/A</v>
      </c>
    </row>
    <row r="6" spans="1:49" x14ac:dyDescent="0.25">
      <c r="A6" s="1" t="s">
        <v>63</v>
      </c>
      <c r="B6" t="s">
        <v>43</v>
      </c>
      <c r="C6" t="s">
        <v>35</v>
      </c>
      <c r="D6" t="e">
        <v>#N/A</v>
      </c>
      <c r="E6" t="b">
        <v>0</v>
      </c>
      <c r="F6" t="s">
        <v>10</v>
      </c>
      <c r="G6" t="s">
        <v>9</v>
      </c>
      <c r="H6" s="2">
        <v>8</v>
      </c>
      <c r="I6" t="b">
        <v>0</v>
      </c>
      <c r="J6" t="b">
        <v>0</v>
      </c>
      <c r="K6" t="s">
        <v>28</v>
      </c>
      <c r="L6" t="s">
        <v>29</v>
      </c>
      <c r="M6" t="s">
        <v>54</v>
      </c>
      <c r="N6">
        <v>300</v>
      </c>
      <c r="O6" t="b">
        <v>1</v>
      </c>
      <c r="P6">
        <v>1</v>
      </c>
      <c r="Q6">
        <v>30</v>
      </c>
      <c r="R6">
        <v>0.5</v>
      </c>
      <c r="S6" t="b">
        <v>0</v>
      </c>
      <c r="T6">
        <v>0.8</v>
      </c>
      <c r="U6">
        <v>0.5</v>
      </c>
      <c r="V6" t="b">
        <v>0</v>
      </c>
      <c r="W6">
        <v>0.8</v>
      </c>
      <c r="X6">
        <v>50</v>
      </c>
      <c r="Y6">
        <v>50</v>
      </c>
      <c r="Z6">
        <v>2</v>
      </c>
      <c r="AA6">
        <v>3</v>
      </c>
      <c r="AB6">
        <v>10</v>
      </c>
      <c r="AC6">
        <v>50</v>
      </c>
      <c r="AD6">
        <v>82</v>
      </c>
      <c r="AE6">
        <v>300</v>
      </c>
      <c r="AF6">
        <v>30</v>
      </c>
      <c r="AG6" t="b">
        <v>1</v>
      </c>
      <c r="AH6">
        <v>20</v>
      </c>
      <c r="AI6">
        <v>3</v>
      </c>
      <c r="AJ6">
        <v>0.8</v>
      </c>
      <c r="AK6" t="b">
        <v>0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</row>
    <row r="7" spans="1:49" x14ac:dyDescent="0.25">
      <c r="A7" s="1" t="s">
        <v>64</v>
      </c>
      <c r="B7" t="s">
        <v>43</v>
      </c>
      <c r="C7" t="s">
        <v>35</v>
      </c>
      <c r="D7" t="e">
        <v>#N/A</v>
      </c>
      <c r="E7" t="b">
        <v>0</v>
      </c>
      <c r="F7" t="s">
        <v>10</v>
      </c>
      <c r="G7" t="s">
        <v>9</v>
      </c>
      <c r="H7" s="2">
        <v>8</v>
      </c>
      <c r="I7" t="b">
        <v>0</v>
      </c>
      <c r="J7" t="b">
        <v>0</v>
      </c>
      <c r="K7" t="s">
        <v>28</v>
      </c>
      <c r="L7" t="s">
        <v>29</v>
      </c>
      <c r="M7" t="s">
        <v>54</v>
      </c>
      <c r="N7">
        <v>300</v>
      </c>
      <c r="O7" t="b">
        <v>1</v>
      </c>
      <c r="P7">
        <v>1</v>
      </c>
      <c r="Q7">
        <v>30</v>
      </c>
      <c r="R7">
        <v>0.25</v>
      </c>
      <c r="S7" t="b">
        <v>0</v>
      </c>
      <c r="T7">
        <v>0.8</v>
      </c>
      <c r="U7">
        <v>0.5</v>
      </c>
      <c r="V7" t="b">
        <v>0</v>
      </c>
      <c r="W7">
        <v>0.8</v>
      </c>
      <c r="X7">
        <v>50</v>
      </c>
      <c r="Y7">
        <v>50</v>
      </c>
      <c r="Z7">
        <v>2</v>
      </c>
      <c r="AA7">
        <v>3</v>
      </c>
      <c r="AB7">
        <v>10</v>
      </c>
      <c r="AC7">
        <v>50</v>
      </c>
      <c r="AD7">
        <v>82</v>
      </c>
      <c r="AE7">
        <v>300</v>
      </c>
      <c r="AF7">
        <v>30</v>
      </c>
      <c r="AG7" t="b">
        <v>1</v>
      </c>
      <c r="AH7">
        <v>20</v>
      </c>
      <c r="AI7">
        <v>3</v>
      </c>
      <c r="AJ7">
        <v>0.8</v>
      </c>
      <c r="AK7" t="b">
        <v>0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</row>
    <row r="8" spans="1:49" ht="15.75" customHeight="1" x14ac:dyDescent="0.25">
      <c r="A8" s="1" t="s">
        <v>99</v>
      </c>
      <c r="B8" t="s">
        <v>43</v>
      </c>
      <c r="C8" t="s">
        <v>35</v>
      </c>
      <c r="D8" t="e">
        <v>#N/A</v>
      </c>
      <c r="E8" t="b">
        <v>1</v>
      </c>
      <c r="F8" t="s">
        <v>10</v>
      </c>
      <c r="G8" t="s">
        <v>9</v>
      </c>
      <c r="H8">
        <v>8</v>
      </c>
      <c r="I8" t="b">
        <v>0</v>
      </c>
      <c r="J8" t="b">
        <v>0</v>
      </c>
      <c r="K8" t="s">
        <v>28</v>
      </c>
      <c r="L8" t="s">
        <v>29</v>
      </c>
      <c r="M8" t="s">
        <v>54</v>
      </c>
      <c r="N8">
        <v>300</v>
      </c>
      <c r="O8" t="b">
        <v>0</v>
      </c>
      <c r="P8">
        <v>1</v>
      </c>
      <c r="Q8">
        <v>30</v>
      </c>
      <c r="R8">
        <v>1.5</v>
      </c>
      <c r="S8" t="b">
        <v>0</v>
      </c>
      <c r="T8">
        <v>0.8</v>
      </c>
      <c r="U8">
        <v>0.5</v>
      </c>
      <c r="V8" t="b">
        <v>0</v>
      </c>
      <c r="W8">
        <v>0.8</v>
      </c>
      <c r="X8">
        <v>50</v>
      </c>
      <c r="Y8">
        <v>50</v>
      </c>
      <c r="Z8">
        <v>2</v>
      </c>
      <c r="AA8">
        <v>3</v>
      </c>
      <c r="AB8">
        <v>10</v>
      </c>
      <c r="AC8">
        <v>50</v>
      </c>
      <c r="AD8">
        <v>82</v>
      </c>
      <c r="AE8">
        <v>300</v>
      </c>
      <c r="AF8">
        <v>30</v>
      </c>
      <c r="AG8" t="b">
        <v>1</v>
      </c>
      <c r="AH8">
        <v>20</v>
      </c>
      <c r="AI8">
        <v>3</v>
      </c>
      <c r="AJ8">
        <v>0.8</v>
      </c>
      <c r="AK8" t="b">
        <v>0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</row>
    <row r="9" spans="1:49" ht="15.75" customHeight="1" x14ac:dyDescent="0.25">
      <c r="A9" s="1" t="s">
        <v>100</v>
      </c>
      <c r="B9" t="s">
        <v>43</v>
      </c>
      <c r="C9" t="s">
        <v>35</v>
      </c>
      <c r="D9" t="e">
        <v>#N/A</v>
      </c>
      <c r="E9" t="b">
        <v>1</v>
      </c>
      <c r="F9" t="s">
        <v>10</v>
      </c>
      <c r="G9" t="s">
        <v>9</v>
      </c>
      <c r="H9">
        <v>8</v>
      </c>
      <c r="I9" t="b">
        <v>0</v>
      </c>
      <c r="J9" t="b">
        <v>0</v>
      </c>
      <c r="K9" t="s">
        <v>28</v>
      </c>
      <c r="L9" t="s">
        <v>29</v>
      </c>
      <c r="M9" t="s">
        <v>54</v>
      </c>
      <c r="N9">
        <v>300</v>
      </c>
      <c r="O9" t="b">
        <v>0</v>
      </c>
      <c r="P9">
        <v>1</v>
      </c>
      <c r="Q9">
        <v>30</v>
      </c>
      <c r="R9">
        <v>1.5</v>
      </c>
      <c r="S9" t="b">
        <v>0</v>
      </c>
      <c r="T9">
        <v>0.8</v>
      </c>
      <c r="U9">
        <v>0.5</v>
      </c>
      <c r="V9" t="b">
        <v>0</v>
      </c>
      <c r="W9">
        <v>0.8</v>
      </c>
      <c r="X9">
        <v>50</v>
      </c>
      <c r="Y9">
        <v>50</v>
      </c>
      <c r="Z9">
        <v>2</v>
      </c>
      <c r="AA9">
        <v>3</v>
      </c>
      <c r="AB9">
        <v>10</v>
      </c>
      <c r="AC9">
        <v>50</v>
      </c>
      <c r="AD9">
        <v>82</v>
      </c>
      <c r="AE9">
        <v>300</v>
      </c>
      <c r="AF9">
        <v>30</v>
      </c>
      <c r="AG9" t="b">
        <v>1</v>
      </c>
      <c r="AH9">
        <v>20</v>
      </c>
      <c r="AI9">
        <v>3</v>
      </c>
      <c r="AJ9">
        <v>0.8</v>
      </c>
      <c r="AK9" t="b">
        <v>0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</row>
    <row r="10" spans="1:49" ht="15.75" customHeight="1" x14ac:dyDescent="0.25">
      <c r="A10" s="1" t="s">
        <v>101</v>
      </c>
      <c r="B10" t="s">
        <v>43</v>
      </c>
      <c r="C10" t="s">
        <v>35</v>
      </c>
      <c r="D10" t="e">
        <v>#N/A</v>
      </c>
      <c r="E10" t="b">
        <v>1</v>
      </c>
      <c r="F10" t="s">
        <v>10</v>
      </c>
      <c r="G10" t="s">
        <v>9</v>
      </c>
      <c r="H10">
        <v>8</v>
      </c>
      <c r="I10" t="b">
        <v>0</v>
      </c>
      <c r="J10" t="b">
        <v>0</v>
      </c>
      <c r="K10" t="s">
        <v>28</v>
      </c>
      <c r="L10" t="s">
        <v>29</v>
      </c>
      <c r="M10" t="s">
        <v>54</v>
      </c>
      <c r="N10">
        <v>300</v>
      </c>
      <c r="O10" t="b">
        <v>1</v>
      </c>
      <c r="P10">
        <v>1</v>
      </c>
      <c r="Q10">
        <v>30</v>
      </c>
      <c r="R10">
        <v>1.5</v>
      </c>
      <c r="S10" t="b">
        <v>0</v>
      </c>
      <c r="T10">
        <v>0.8</v>
      </c>
      <c r="U10">
        <v>0.5</v>
      </c>
      <c r="V10" t="b">
        <v>0</v>
      </c>
      <c r="W10">
        <v>0.8</v>
      </c>
      <c r="X10">
        <v>50</v>
      </c>
      <c r="Y10">
        <v>50</v>
      </c>
      <c r="Z10">
        <v>2</v>
      </c>
      <c r="AA10">
        <v>3</v>
      </c>
      <c r="AB10">
        <v>10</v>
      </c>
      <c r="AC10">
        <v>50</v>
      </c>
      <c r="AD10">
        <v>82</v>
      </c>
      <c r="AE10">
        <v>300</v>
      </c>
      <c r="AF10">
        <v>30</v>
      </c>
      <c r="AG10" t="b">
        <v>1</v>
      </c>
      <c r="AH10">
        <v>20</v>
      </c>
      <c r="AI10">
        <v>3</v>
      </c>
      <c r="AJ10">
        <v>0.8</v>
      </c>
      <c r="AK10" t="b">
        <v>0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</row>
    <row r="11" spans="1:49" ht="15.75" customHeight="1" x14ac:dyDescent="0.25">
      <c r="A11" s="1" t="s">
        <v>102</v>
      </c>
      <c r="B11" t="s">
        <v>43</v>
      </c>
      <c r="C11" t="s">
        <v>35</v>
      </c>
      <c r="D11" t="e">
        <v>#N/A</v>
      </c>
      <c r="E11" t="b">
        <v>1</v>
      </c>
      <c r="F11" t="s">
        <v>10</v>
      </c>
      <c r="G11" t="s">
        <v>9</v>
      </c>
      <c r="H11">
        <v>8</v>
      </c>
      <c r="I11" t="b">
        <v>0</v>
      </c>
      <c r="J11" t="b">
        <v>0</v>
      </c>
      <c r="K11" t="s">
        <v>28</v>
      </c>
      <c r="L11" t="s">
        <v>29</v>
      </c>
      <c r="M11" t="s">
        <v>54</v>
      </c>
      <c r="N11">
        <v>300</v>
      </c>
      <c r="O11" t="b">
        <v>1</v>
      </c>
      <c r="P11">
        <v>1</v>
      </c>
      <c r="Q11">
        <v>30</v>
      </c>
      <c r="R11">
        <v>1.5</v>
      </c>
      <c r="S11" t="b">
        <v>0</v>
      </c>
      <c r="T11">
        <v>0.8</v>
      </c>
      <c r="U11">
        <v>0.5</v>
      </c>
      <c r="V11" t="b">
        <v>0</v>
      </c>
      <c r="W11">
        <v>0.8</v>
      </c>
      <c r="X11">
        <v>50</v>
      </c>
      <c r="Y11">
        <v>50</v>
      </c>
      <c r="Z11">
        <v>2</v>
      </c>
      <c r="AA11">
        <v>3</v>
      </c>
      <c r="AB11">
        <v>10</v>
      </c>
      <c r="AC11">
        <v>50</v>
      </c>
      <c r="AD11">
        <v>82</v>
      </c>
      <c r="AE11">
        <v>300</v>
      </c>
      <c r="AF11">
        <v>30</v>
      </c>
      <c r="AG11" t="b">
        <v>1</v>
      </c>
      <c r="AH11">
        <v>20</v>
      </c>
      <c r="AI11">
        <v>3</v>
      </c>
      <c r="AJ11">
        <v>0.8</v>
      </c>
      <c r="AK11" t="b">
        <v>0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</row>
    <row r="12" spans="1:49" ht="15.75" customHeight="1" x14ac:dyDescent="0.25">
      <c r="A12" s="1" t="s">
        <v>103</v>
      </c>
      <c r="B12" t="s">
        <v>43</v>
      </c>
      <c r="C12" t="s">
        <v>94</v>
      </c>
      <c r="D12" t="e">
        <v>#N/A</v>
      </c>
      <c r="E12" t="b">
        <v>1</v>
      </c>
      <c r="F12" t="s">
        <v>10</v>
      </c>
      <c r="G12" t="s">
        <v>9</v>
      </c>
      <c r="H12">
        <v>2</v>
      </c>
      <c r="I12" t="b">
        <v>0</v>
      </c>
      <c r="J12" t="b">
        <v>0</v>
      </c>
      <c r="K12" t="s">
        <v>28</v>
      </c>
      <c r="L12" t="s">
        <v>29</v>
      </c>
      <c r="M12" t="s">
        <v>54</v>
      </c>
      <c r="N12">
        <v>300</v>
      </c>
      <c r="O12" t="b">
        <v>0</v>
      </c>
      <c r="P12">
        <v>1</v>
      </c>
      <c r="Q12">
        <v>30</v>
      </c>
      <c r="R12">
        <v>1.75</v>
      </c>
      <c r="S12" t="b">
        <v>0</v>
      </c>
      <c r="T12">
        <v>0.8</v>
      </c>
      <c r="U12">
        <v>0.5</v>
      </c>
      <c r="V12" t="b">
        <v>0</v>
      </c>
      <c r="W12">
        <v>0.8</v>
      </c>
      <c r="X12">
        <v>50</v>
      </c>
      <c r="Y12">
        <v>50</v>
      </c>
      <c r="Z12">
        <v>10</v>
      </c>
      <c r="AA12">
        <v>3</v>
      </c>
      <c r="AB12">
        <v>10</v>
      </c>
      <c r="AC12">
        <v>50</v>
      </c>
      <c r="AD12">
        <v>82</v>
      </c>
      <c r="AE12">
        <v>300</v>
      </c>
      <c r="AF12">
        <v>30</v>
      </c>
      <c r="AG12" t="b">
        <v>1</v>
      </c>
      <c r="AH12">
        <v>20</v>
      </c>
      <c r="AI12">
        <v>3</v>
      </c>
      <c r="AJ12">
        <v>0.8</v>
      </c>
      <c r="AK12" t="b">
        <v>0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</row>
    <row r="13" spans="1:49" ht="15.75" customHeight="1" x14ac:dyDescent="0.25">
      <c r="A13" s="1" t="s">
        <v>104</v>
      </c>
      <c r="B13" t="s">
        <v>43</v>
      </c>
      <c r="C13" t="s">
        <v>94</v>
      </c>
      <c r="D13" t="e">
        <v>#N/A</v>
      </c>
      <c r="E13" t="b">
        <v>1</v>
      </c>
      <c r="F13" t="s">
        <v>10</v>
      </c>
      <c r="G13" t="s">
        <v>9</v>
      </c>
      <c r="H13">
        <v>2</v>
      </c>
      <c r="I13" t="b">
        <v>0</v>
      </c>
      <c r="J13" t="b">
        <v>0</v>
      </c>
      <c r="K13" t="s">
        <v>28</v>
      </c>
      <c r="L13" t="s">
        <v>29</v>
      </c>
      <c r="M13" t="s">
        <v>54</v>
      </c>
      <c r="N13">
        <v>300</v>
      </c>
      <c r="O13" t="b">
        <v>0</v>
      </c>
      <c r="P13">
        <v>1</v>
      </c>
      <c r="Q13">
        <v>30</v>
      </c>
      <c r="R13">
        <v>1.75</v>
      </c>
      <c r="S13" t="b">
        <v>0</v>
      </c>
      <c r="T13">
        <v>0.8</v>
      </c>
      <c r="U13">
        <v>0.5</v>
      </c>
      <c r="V13" t="b">
        <v>0</v>
      </c>
      <c r="W13">
        <v>0.8</v>
      </c>
      <c r="X13">
        <v>50</v>
      </c>
      <c r="Y13">
        <v>50</v>
      </c>
      <c r="Z13">
        <v>10</v>
      </c>
      <c r="AA13">
        <v>3</v>
      </c>
      <c r="AB13">
        <v>10</v>
      </c>
      <c r="AC13">
        <v>50</v>
      </c>
      <c r="AD13">
        <v>82</v>
      </c>
      <c r="AE13">
        <v>300</v>
      </c>
      <c r="AF13">
        <v>30</v>
      </c>
      <c r="AG13" t="b">
        <v>1</v>
      </c>
      <c r="AH13">
        <v>20</v>
      </c>
      <c r="AI13">
        <v>3</v>
      </c>
      <c r="AJ13">
        <v>0.8</v>
      </c>
      <c r="AK13" t="b">
        <v>0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</row>
    <row r="14" spans="1:49" ht="15.75" customHeight="1" x14ac:dyDescent="0.25">
      <c r="A14" s="1" t="s">
        <v>105</v>
      </c>
      <c r="B14" t="s">
        <v>43</v>
      </c>
      <c r="C14" t="s">
        <v>94</v>
      </c>
      <c r="D14" t="e">
        <v>#N/A</v>
      </c>
      <c r="E14" t="b">
        <v>1</v>
      </c>
      <c r="F14" t="s">
        <v>10</v>
      </c>
      <c r="G14" t="s">
        <v>9</v>
      </c>
      <c r="H14">
        <v>2</v>
      </c>
      <c r="I14" t="b">
        <v>0</v>
      </c>
      <c r="J14" t="b">
        <v>0</v>
      </c>
      <c r="K14" t="s">
        <v>28</v>
      </c>
      <c r="L14" t="s">
        <v>29</v>
      </c>
      <c r="M14" t="s">
        <v>54</v>
      </c>
      <c r="N14">
        <v>300</v>
      </c>
      <c r="O14" t="b">
        <v>1</v>
      </c>
      <c r="P14">
        <v>1</v>
      </c>
      <c r="Q14">
        <v>30</v>
      </c>
      <c r="R14">
        <v>1.75</v>
      </c>
      <c r="S14" t="b">
        <v>0</v>
      </c>
      <c r="T14">
        <v>0.8</v>
      </c>
      <c r="U14">
        <v>0.5</v>
      </c>
      <c r="V14" t="b">
        <v>0</v>
      </c>
      <c r="W14">
        <v>0.8</v>
      </c>
      <c r="X14">
        <v>50</v>
      </c>
      <c r="Y14">
        <v>50</v>
      </c>
      <c r="Z14">
        <v>10</v>
      </c>
      <c r="AA14">
        <v>3</v>
      </c>
      <c r="AB14">
        <v>10</v>
      </c>
      <c r="AC14">
        <v>50</v>
      </c>
      <c r="AD14">
        <v>82</v>
      </c>
      <c r="AE14">
        <v>300</v>
      </c>
      <c r="AF14">
        <v>30</v>
      </c>
      <c r="AG14" t="b">
        <v>1</v>
      </c>
      <c r="AH14">
        <v>20</v>
      </c>
      <c r="AI14">
        <v>3</v>
      </c>
      <c r="AJ14">
        <v>0.8</v>
      </c>
      <c r="AK14" t="b">
        <v>0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</row>
    <row r="15" spans="1:49" ht="15.75" customHeight="1" x14ac:dyDescent="0.25">
      <c r="A15" s="1" t="s">
        <v>106</v>
      </c>
      <c r="B15" t="s">
        <v>43</v>
      </c>
      <c r="C15" t="s">
        <v>94</v>
      </c>
      <c r="D15" t="e">
        <v>#N/A</v>
      </c>
      <c r="E15" t="b">
        <v>1</v>
      </c>
      <c r="F15" t="s">
        <v>10</v>
      </c>
      <c r="G15" t="s">
        <v>9</v>
      </c>
      <c r="H15">
        <v>2</v>
      </c>
      <c r="I15" t="b">
        <v>0</v>
      </c>
      <c r="J15" t="b">
        <v>0</v>
      </c>
      <c r="K15" t="s">
        <v>28</v>
      </c>
      <c r="L15" t="s">
        <v>29</v>
      </c>
      <c r="M15" t="s">
        <v>54</v>
      </c>
      <c r="N15">
        <v>300</v>
      </c>
      <c r="O15" t="b">
        <v>1</v>
      </c>
      <c r="P15">
        <v>1</v>
      </c>
      <c r="Q15">
        <v>30</v>
      </c>
      <c r="R15">
        <v>1.75</v>
      </c>
      <c r="S15" t="b">
        <v>0</v>
      </c>
      <c r="T15">
        <v>0.8</v>
      </c>
      <c r="U15">
        <v>0.5</v>
      </c>
      <c r="V15" t="b">
        <v>0</v>
      </c>
      <c r="W15">
        <v>0.8</v>
      </c>
      <c r="X15">
        <v>50</v>
      </c>
      <c r="Y15">
        <v>50</v>
      </c>
      <c r="Z15">
        <v>10</v>
      </c>
      <c r="AA15">
        <v>3</v>
      </c>
      <c r="AB15">
        <v>10</v>
      </c>
      <c r="AC15">
        <v>50</v>
      </c>
      <c r="AD15">
        <v>82</v>
      </c>
      <c r="AE15">
        <v>300</v>
      </c>
      <c r="AF15">
        <v>30</v>
      </c>
      <c r="AG15" t="b">
        <v>1</v>
      </c>
      <c r="AH15">
        <v>20</v>
      </c>
      <c r="AI15">
        <v>3</v>
      </c>
      <c r="AJ15">
        <v>0.8</v>
      </c>
      <c r="AK15" t="b">
        <v>0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</row>
    <row r="16" spans="1:49" ht="15.75" customHeight="1" x14ac:dyDescent="0.25">
      <c r="A16" s="1" t="s">
        <v>107</v>
      </c>
      <c r="B16" t="s">
        <v>43</v>
      </c>
      <c r="C16" t="s">
        <v>94</v>
      </c>
      <c r="D16" t="e">
        <v>#N/A</v>
      </c>
      <c r="E16" t="b">
        <v>1</v>
      </c>
      <c r="F16" t="s">
        <v>10</v>
      </c>
      <c r="G16" t="s">
        <v>9</v>
      </c>
      <c r="H16">
        <v>2</v>
      </c>
      <c r="I16" t="b">
        <v>0</v>
      </c>
      <c r="J16" t="b">
        <v>0</v>
      </c>
      <c r="K16" t="s">
        <v>28</v>
      </c>
      <c r="L16" t="s">
        <v>29</v>
      </c>
      <c r="M16" t="s">
        <v>54</v>
      </c>
      <c r="N16">
        <v>300</v>
      </c>
      <c r="O16" t="b">
        <v>1</v>
      </c>
      <c r="P16">
        <v>1</v>
      </c>
      <c r="Q16">
        <v>30</v>
      </c>
      <c r="R16">
        <v>1.75</v>
      </c>
      <c r="S16" t="b">
        <v>0</v>
      </c>
      <c r="T16">
        <v>0.8</v>
      </c>
      <c r="U16">
        <v>0.5</v>
      </c>
      <c r="V16" t="b">
        <v>0</v>
      </c>
      <c r="W16">
        <v>0.8</v>
      </c>
      <c r="X16">
        <v>50</v>
      </c>
      <c r="Y16">
        <v>50</v>
      </c>
      <c r="Z16">
        <v>10</v>
      </c>
      <c r="AA16">
        <v>3</v>
      </c>
      <c r="AB16">
        <v>10</v>
      </c>
      <c r="AC16">
        <v>50</v>
      </c>
      <c r="AD16">
        <v>82</v>
      </c>
      <c r="AE16">
        <v>300</v>
      </c>
      <c r="AF16">
        <v>30</v>
      </c>
      <c r="AG16" t="b">
        <v>1</v>
      </c>
      <c r="AH16">
        <v>20</v>
      </c>
      <c r="AI16">
        <v>3</v>
      </c>
      <c r="AJ16">
        <v>0.8</v>
      </c>
      <c r="AK16" t="b">
        <v>0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</row>
    <row r="17" spans="1:49" ht="38.1" customHeight="1" x14ac:dyDescent="0.25">
      <c r="A17" s="1" t="s">
        <v>65</v>
      </c>
      <c r="B17" s="5" t="s">
        <v>66</v>
      </c>
      <c r="C17" t="s">
        <v>35</v>
      </c>
      <c r="D17" t="s">
        <v>67</v>
      </c>
      <c r="E17" t="str">
        <f t="shared" ref="E17:E36" si="0">PROPER(TRUE)</f>
        <v>True</v>
      </c>
      <c r="F17" s="5" t="s">
        <v>10</v>
      </c>
      <c r="G17" t="s">
        <v>9</v>
      </c>
      <c r="H17" s="2">
        <v>8</v>
      </c>
      <c r="I17" t="str">
        <f t="shared" ref="I17:J32" si="1">PROPER(FALSE)</f>
        <v>False</v>
      </c>
      <c r="J17" t="str">
        <f t="shared" ref="J17:J28" si="2">PROPER(TRUE)</f>
        <v>True</v>
      </c>
      <c r="K17" t="s">
        <v>28</v>
      </c>
      <c r="L17" s="5" t="s">
        <v>68</v>
      </c>
      <c r="M17" t="s">
        <v>54</v>
      </c>
      <c r="N17" s="3">
        <v>300</v>
      </c>
      <c r="O17" t="str">
        <f t="shared" ref="O17:O28" si="3">PROPER(TRUE)</f>
        <v>True</v>
      </c>
      <c r="P17" s="3">
        <v>1</v>
      </c>
      <c r="Q17" s="3">
        <v>30</v>
      </c>
      <c r="R17" s="3">
        <v>0.75</v>
      </c>
      <c r="S17" t="str">
        <f t="shared" ref="S17:S36" si="4">PROPER(FALSE)</f>
        <v>False</v>
      </c>
      <c r="T17" s="3">
        <v>0.8</v>
      </c>
      <c r="U17" s="3">
        <v>0.5</v>
      </c>
      <c r="V17" t="str">
        <f t="shared" ref="V17:V36" si="5">PROPER(FALSE)</f>
        <v>False</v>
      </c>
      <c r="W17" s="3">
        <v>0.8</v>
      </c>
      <c r="X17" s="3">
        <v>50</v>
      </c>
      <c r="Y17" s="3">
        <v>50</v>
      </c>
      <c r="Z17" s="5">
        <v>2</v>
      </c>
      <c r="AA17" s="3">
        <v>3</v>
      </c>
      <c r="AB17" s="3">
        <v>10</v>
      </c>
      <c r="AC17" s="3">
        <v>50</v>
      </c>
      <c r="AD17" s="3">
        <v>82</v>
      </c>
      <c r="AE17" s="3">
        <v>300</v>
      </c>
      <c r="AF17" s="3">
        <v>30</v>
      </c>
      <c r="AG17" t="str">
        <f t="shared" ref="AG17:AG28" si="6">PROPER(FALSE)</f>
        <v>False</v>
      </c>
      <c r="AH17" s="3">
        <v>20</v>
      </c>
      <c r="AI17" s="3">
        <v>3</v>
      </c>
      <c r="AJ17" s="3">
        <v>0.8</v>
      </c>
      <c r="AK17" t="str">
        <f t="shared" ref="AK17:AK36" si="7">PROPER(FALSE)</f>
        <v>False</v>
      </c>
      <c r="AL17" s="5" t="e">
        <v>#N/A</v>
      </c>
      <c r="AM17" s="5" t="e">
        <v>#N/A</v>
      </c>
      <c r="AN17" s="5" t="e">
        <v>#N/A</v>
      </c>
      <c r="AO17" s="5" t="e">
        <v>#N/A</v>
      </c>
      <c r="AP17" s="5" t="e">
        <v>#N/A</v>
      </c>
      <c r="AQ17" s="5" t="e">
        <v>#N/A</v>
      </c>
      <c r="AR17" s="5" t="e">
        <v>#N/A</v>
      </c>
      <c r="AS17" s="5" t="e">
        <v>#N/A</v>
      </c>
      <c r="AT17" s="5" t="e">
        <v>#N/A</v>
      </c>
      <c r="AU17" s="5" t="e">
        <v>#N/A</v>
      </c>
      <c r="AV17" s="5" t="e">
        <v>#N/A</v>
      </c>
      <c r="AW17" s="5" t="e">
        <v>#N/A</v>
      </c>
    </row>
    <row r="18" spans="1:49" ht="38.1" customHeight="1" x14ac:dyDescent="0.25">
      <c r="A18" s="1" t="s">
        <v>69</v>
      </c>
      <c r="B18" s="5" t="s">
        <v>66</v>
      </c>
      <c r="C18" t="s">
        <v>35</v>
      </c>
      <c r="D18" t="s">
        <v>70</v>
      </c>
      <c r="E18" t="str">
        <f t="shared" si="0"/>
        <v>True</v>
      </c>
      <c r="F18" s="5" t="s">
        <v>10</v>
      </c>
      <c r="G18" t="s">
        <v>9</v>
      </c>
      <c r="H18" s="6">
        <v>8</v>
      </c>
      <c r="I18" t="str">
        <f t="shared" si="1"/>
        <v>False</v>
      </c>
      <c r="J18" t="str">
        <f t="shared" si="1"/>
        <v>False</v>
      </c>
      <c r="K18" t="s">
        <v>28</v>
      </c>
      <c r="L18" s="5" t="s">
        <v>68</v>
      </c>
      <c r="M18" t="s">
        <v>54</v>
      </c>
      <c r="N18" s="3">
        <v>300</v>
      </c>
      <c r="O18" t="str">
        <f t="shared" si="3"/>
        <v>True</v>
      </c>
      <c r="P18" s="3">
        <v>1</v>
      </c>
      <c r="Q18" s="3">
        <v>30</v>
      </c>
      <c r="R18" s="3">
        <v>1</v>
      </c>
      <c r="S18" t="str">
        <f t="shared" si="4"/>
        <v>False</v>
      </c>
      <c r="T18" s="3">
        <v>0.8</v>
      </c>
      <c r="U18" s="3">
        <v>0.5</v>
      </c>
      <c r="V18" t="str">
        <f t="shared" si="5"/>
        <v>False</v>
      </c>
      <c r="W18" s="3">
        <v>0.8</v>
      </c>
      <c r="X18" s="3">
        <v>50</v>
      </c>
      <c r="Y18" s="3">
        <v>50</v>
      </c>
      <c r="Z18" s="5">
        <v>2</v>
      </c>
      <c r="AA18" s="3">
        <v>3</v>
      </c>
      <c r="AB18" s="3">
        <v>10</v>
      </c>
      <c r="AC18" s="3">
        <v>50</v>
      </c>
      <c r="AD18" s="3">
        <v>82</v>
      </c>
      <c r="AE18" s="3">
        <v>300</v>
      </c>
      <c r="AF18" s="3">
        <v>30</v>
      </c>
      <c r="AG18" t="str">
        <f t="shared" si="6"/>
        <v>False</v>
      </c>
      <c r="AH18" s="3">
        <v>20</v>
      </c>
      <c r="AI18" s="3">
        <v>3</v>
      </c>
      <c r="AJ18" s="3">
        <v>0.8</v>
      </c>
      <c r="AK18" t="str">
        <f t="shared" si="7"/>
        <v>False</v>
      </c>
      <c r="AL18" s="5" t="e">
        <v>#N/A</v>
      </c>
      <c r="AM18" s="5" t="e">
        <v>#N/A</v>
      </c>
      <c r="AN18" s="5" t="e">
        <v>#N/A</v>
      </c>
      <c r="AO18" s="5" t="e">
        <v>#N/A</v>
      </c>
      <c r="AP18" s="5" t="e">
        <v>#N/A</v>
      </c>
      <c r="AQ18" s="5" t="e">
        <v>#N/A</v>
      </c>
      <c r="AR18" s="5" t="e">
        <v>#N/A</v>
      </c>
      <c r="AS18" s="5" t="e">
        <v>#N/A</v>
      </c>
      <c r="AT18" s="5" t="e">
        <v>#N/A</v>
      </c>
      <c r="AU18" s="5" t="e">
        <v>#N/A</v>
      </c>
      <c r="AV18" s="5" t="e">
        <v>#N/A</v>
      </c>
      <c r="AW18" s="5" t="e">
        <v>#N/A</v>
      </c>
    </row>
    <row r="19" spans="1:49" ht="38.1" customHeight="1" x14ac:dyDescent="0.25">
      <c r="A19" s="1" t="s">
        <v>71</v>
      </c>
      <c r="B19" s="5" t="s">
        <v>66</v>
      </c>
      <c r="C19" t="s">
        <v>44</v>
      </c>
      <c r="D19" t="s">
        <v>67</v>
      </c>
      <c r="E19" t="str">
        <f t="shared" si="0"/>
        <v>True</v>
      </c>
      <c r="F19" s="5" t="s">
        <v>10</v>
      </c>
      <c r="G19" t="s">
        <v>9</v>
      </c>
      <c r="H19" s="2">
        <v>6</v>
      </c>
      <c r="I19" t="str">
        <f t="shared" si="1"/>
        <v>False</v>
      </c>
      <c r="J19" t="str">
        <f t="shared" si="2"/>
        <v>True</v>
      </c>
      <c r="K19" t="s">
        <v>28</v>
      </c>
      <c r="L19" s="5" t="s">
        <v>68</v>
      </c>
      <c r="M19" t="s">
        <v>54</v>
      </c>
      <c r="N19" s="3">
        <v>300</v>
      </c>
      <c r="O19" t="str">
        <f t="shared" si="3"/>
        <v>True</v>
      </c>
      <c r="P19" s="3">
        <v>1</v>
      </c>
      <c r="Q19" s="3">
        <v>30</v>
      </c>
      <c r="R19" s="3">
        <v>1.25</v>
      </c>
      <c r="S19" t="str">
        <f t="shared" si="4"/>
        <v>False</v>
      </c>
      <c r="T19" s="3">
        <v>0.8</v>
      </c>
      <c r="U19" s="3">
        <v>0.5</v>
      </c>
      <c r="V19" t="str">
        <f t="shared" si="5"/>
        <v>False</v>
      </c>
      <c r="W19" s="3">
        <v>0.8</v>
      </c>
      <c r="X19" s="3">
        <v>50</v>
      </c>
      <c r="Y19" s="3">
        <v>50</v>
      </c>
      <c r="Z19" s="5">
        <v>2</v>
      </c>
      <c r="AA19" s="3">
        <v>3</v>
      </c>
      <c r="AB19" s="3">
        <v>10</v>
      </c>
      <c r="AC19" s="3">
        <v>50</v>
      </c>
      <c r="AD19" s="3">
        <v>82</v>
      </c>
      <c r="AE19" s="3">
        <v>300</v>
      </c>
      <c r="AF19" s="3">
        <v>30</v>
      </c>
      <c r="AG19" t="str">
        <f t="shared" si="6"/>
        <v>False</v>
      </c>
      <c r="AH19" s="3">
        <v>20</v>
      </c>
      <c r="AI19" s="3">
        <v>3</v>
      </c>
      <c r="AJ19" s="3">
        <v>0.8</v>
      </c>
      <c r="AK19" t="str">
        <f t="shared" si="7"/>
        <v>False</v>
      </c>
      <c r="AL19" s="5" t="e">
        <v>#N/A</v>
      </c>
      <c r="AM19" s="5" t="e">
        <v>#N/A</v>
      </c>
      <c r="AN19" s="5" t="e">
        <v>#N/A</v>
      </c>
      <c r="AO19" s="5" t="e">
        <v>#N/A</v>
      </c>
      <c r="AP19" s="5" t="e">
        <v>#N/A</v>
      </c>
      <c r="AQ19" s="5" t="e">
        <v>#N/A</v>
      </c>
      <c r="AR19" s="5" t="e">
        <v>#N/A</v>
      </c>
      <c r="AS19" s="5" t="e">
        <v>#N/A</v>
      </c>
      <c r="AT19" s="5" t="e">
        <v>#N/A</v>
      </c>
      <c r="AU19" s="5" t="e">
        <v>#N/A</v>
      </c>
      <c r="AV19" s="5" t="e">
        <v>#N/A</v>
      </c>
      <c r="AW19" s="5" t="e">
        <v>#N/A</v>
      </c>
    </row>
    <row r="20" spans="1:49" ht="38.1" customHeight="1" x14ac:dyDescent="0.25">
      <c r="A20" s="1" t="s">
        <v>72</v>
      </c>
      <c r="B20" s="5" t="s">
        <v>66</v>
      </c>
      <c r="C20" t="s">
        <v>35</v>
      </c>
      <c r="D20" t="s">
        <v>67</v>
      </c>
      <c r="E20" t="str">
        <f t="shared" si="0"/>
        <v>True</v>
      </c>
      <c r="F20" s="5" t="s">
        <v>10</v>
      </c>
      <c r="G20" t="s">
        <v>9</v>
      </c>
      <c r="H20" s="2">
        <v>8</v>
      </c>
      <c r="I20" t="str">
        <f t="shared" si="1"/>
        <v>False</v>
      </c>
      <c r="J20" t="str">
        <f t="shared" si="2"/>
        <v>True</v>
      </c>
      <c r="K20" t="s">
        <v>28</v>
      </c>
      <c r="L20" s="5" t="s">
        <v>68</v>
      </c>
      <c r="M20" t="s">
        <v>54</v>
      </c>
      <c r="N20" s="3">
        <v>300</v>
      </c>
      <c r="O20" t="str">
        <f t="shared" si="3"/>
        <v>True</v>
      </c>
      <c r="P20" s="3">
        <v>1</v>
      </c>
      <c r="Q20" s="3">
        <v>30</v>
      </c>
      <c r="R20" s="3">
        <v>1</v>
      </c>
      <c r="S20" t="str">
        <f t="shared" si="4"/>
        <v>False</v>
      </c>
      <c r="T20" s="3">
        <v>0.8</v>
      </c>
      <c r="U20" s="3">
        <v>0.5</v>
      </c>
      <c r="V20" t="str">
        <f t="shared" si="5"/>
        <v>False</v>
      </c>
      <c r="W20" s="3">
        <v>0.8</v>
      </c>
      <c r="X20" s="3">
        <v>50</v>
      </c>
      <c r="Y20" s="3">
        <v>50</v>
      </c>
      <c r="Z20" s="5">
        <v>2</v>
      </c>
      <c r="AA20" s="3">
        <v>3</v>
      </c>
      <c r="AB20" s="3">
        <v>10</v>
      </c>
      <c r="AC20" s="3">
        <v>50</v>
      </c>
      <c r="AD20" s="3">
        <v>82</v>
      </c>
      <c r="AE20" s="3">
        <v>300</v>
      </c>
      <c r="AF20" s="3">
        <v>30</v>
      </c>
      <c r="AG20" t="str">
        <f t="shared" si="6"/>
        <v>False</v>
      </c>
      <c r="AH20" s="3">
        <v>20</v>
      </c>
      <c r="AI20" s="3">
        <v>3</v>
      </c>
      <c r="AJ20" s="3">
        <v>0.8</v>
      </c>
      <c r="AK20" t="str">
        <f t="shared" si="7"/>
        <v>False</v>
      </c>
      <c r="AL20" s="5" t="e">
        <v>#N/A</v>
      </c>
      <c r="AM20" s="5" t="e">
        <v>#N/A</v>
      </c>
      <c r="AN20" s="5" t="e">
        <v>#N/A</v>
      </c>
      <c r="AO20" s="5" t="e">
        <v>#N/A</v>
      </c>
      <c r="AP20" s="5" t="e">
        <v>#N/A</v>
      </c>
      <c r="AQ20" s="5" t="e">
        <v>#N/A</v>
      </c>
      <c r="AR20" s="5" t="e">
        <v>#N/A</v>
      </c>
      <c r="AS20" s="5" t="e">
        <v>#N/A</v>
      </c>
      <c r="AT20" s="5" t="e">
        <v>#N/A</v>
      </c>
      <c r="AU20" s="5" t="e">
        <v>#N/A</v>
      </c>
      <c r="AV20" s="5" t="e">
        <v>#N/A</v>
      </c>
      <c r="AW20" s="5" t="e">
        <v>#N/A</v>
      </c>
    </row>
    <row r="21" spans="1:49" ht="36.950000000000003" customHeight="1" x14ac:dyDescent="0.25">
      <c r="A21" s="1" t="s">
        <v>73</v>
      </c>
      <c r="B21" s="5" t="s">
        <v>66</v>
      </c>
      <c r="C21" t="s">
        <v>35</v>
      </c>
      <c r="D21" t="s">
        <v>70</v>
      </c>
      <c r="E21" t="str">
        <f t="shared" si="0"/>
        <v>True</v>
      </c>
      <c r="F21" s="5" t="s">
        <v>10</v>
      </c>
      <c r="G21" t="s">
        <v>9</v>
      </c>
      <c r="H21" s="2">
        <v>8</v>
      </c>
      <c r="I21" t="str">
        <f t="shared" si="1"/>
        <v>False</v>
      </c>
      <c r="J21" t="str">
        <f t="shared" si="1"/>
        <v>False</v>
      </c>
      <c r="K21" t="s">
        <v>28</v>
      </c>
      <c r="L21" s="5" t="s">
        <v>68</v>
      </c>
      <c r="M21" t="s">
        <v>54</v>
      </c>
      <c r="N21" s="3">
        <v>300</v>
      </c>
      <c r="O21" t="str">
        <f t="shared" si="3"/>
        <v>True</v>
      </c>
      <c r="P21" s="3">
        <v>1</v>
      </c>
      <c r="Q21" s="3">
        <v>30</v>
      </c>
      <c r="R21" s="3">
        <v>0.25</v>
      </c>
      <c r="S21" t="str">
        <f t="shared" si="4"/>
        <v>False</v>
      </c>
      <c r="T21" s="3">
        <v>0.8</v>
      </c>
      <c r="U21" s="3">
        <v>0.5</v>
      </c>
      <c r="V21" t="str">
        <f t="shared" si="5"/>
        <v>False</v>
      </c>
      <c r="W21" s="3">
        <v>0.8</v>
      </c>
      <c r="X21" s="3">
        <v>50</v>
      </c>
      <c r="Y21" s="3">
        <v>50</v>
      </c>
      <c r="Z21" s="5">
        <v>2</v>
      </c>
      <c r="AA21" s="3">
        <v>3</v>
      </c>
      <c r="AB21" s="3">
        <v>10</v>
      </c>
      <c r="AC21" s="3">
        <v>50</v>
      </c>
      <c r="AD21" s="3">
        <v>82</v>
      </c>
      <c r="AE21" s="3">
        <v>300</v>
      </c>
      <c r="AF21" s="3">
        <v>30</v>
      </c>
      <c r="AG21" t="str">
        <f t="shared" si="6"/>
        <v>False</v>
      </c>
      <c r="AH21" s="3">
        <v>20</v>
      </c>
      <c r="AI21" s="3">
        <v>3</v>
      </c>
      <c r="AJ21" s="3">
        <v>0.8</v>
      </c>
      <c r="AK21" t="str">
        <f t="shared" si="7"/>
        <v>False</v>
      </c>
      <c r="AL21" s="5" t="e">
        <v>#N/A</v>
      </c>
      <c r="AM21" s="5" t="e">
        <v>#N/A</v>
      </c>
      <c r="AN21" s="5" t="e">
        <v>#N/A</v>
      </c>
      <c r="AO21" s="5" t="e">
        <v>#N/A</v>
      </c>
      <c r="AP21" s="5" t="e">
        <v>#N/A</v>
      </c>
      <c r="AQ21" s="5" t="e">
        <v>#N/A</v>
      </c>
      <c r="AR21" s="5" t="e">
        <v>#N/A</v>
      </c>
      <c r="AS21" s="5" t="e">
        <v>#N/A</v>
      </c>
      <c r="AT21" s="5" t="e">
        <v>#N/A</v>
      </c>
      <c r="AU21" s="5" t="e">
        <v>#N/A</v>
      </c>
      <c r="AV21" s="5" t="e">
        <v>#N/A</v>
      </c>
      <c r="AW21" s="5" t="e">
        <v>#N/A</v>
      </c>
    </row>
    <row r="22" spans="1:49" ht="38.1" customHeight="1" x14ac:dyDescent="0.25">
      <c r="A22" s="1" t="s">
        <v>74</v>
      </c>
      <c r="B22" s="5" t="s">
        <v>66</v>
      </c>
      <c r="C22" t="s">
        <v>44</v>
      </c>
      <c r="D22" t="s">
        <v>67</v>
      </c>
      <c r="E22" t="str">
        <f t="shared" si="0"/>
        <v>True</v>
      </c>
      <c r="F22" s="5" t="s">
        <v>10</v>
      </c>
      <c r="G22" t="s">
        <v>9</v>
      </c>
      <c r="H22" s="2">
        <v>8</v>
      </c>
      <c r="I22" t="str">
        <f t="shared" si="1"/>
        <v>False</v>
      </c>
      <c r="J22" t="str">
        <f t="shared" si="2"/>
        <v>True</v>
      </c>
      <c r="K22" t="s">
        <v>28</v>
      </c>
      <c r="L22" s="5" t="s">
        <v>68</v>
      </c>
      <c r="M22" t="s">
        <v>54</v>
      </c>
      <c r="N22" s="3">
        <v>300</v>
      </c>
      <c r="O22" t="str">
        <f t="shared" si="3"/>
        <v>True</v>
      </c>
      <c r="P22" s="3">
        <v>1</v>
      </c>
      <c r="Q22" s="3">
        <v>30</v>
      </c>
      <c r="R22" s="3">
        <v>1</v>
      </c>
      <c r="S22" t="str">
        <f t="shared" si="4"/>
        <v>False</v>
      </c>
      <c r="T22" s="3">
        <v>0.8</v>
      </c>
      <c r="U22" s="3">
        <v>0.5</v>
      </c>
      <c r="V22" t="str">
        <f t="shared" si="5"/>
        <v>False</v>
      </c>
      <c r="W22" s="3">
        <v>0.8</v>
      </c>
      <c r="X22" s="3">
        <v>50</v>
      </c>
      <c r="Y22" s="3">
        <v>50</v>
      </c>
      <c r="Z22" s="5">
        <v>2</v>
      </c>
      <c r="AA22" s="3">
        <v>3</v>
      </c>
      <c r="AB22" s="3">
        <v>10</v>
      </c>
      <c r="AC22" s="3">
        <v>50</v>
      </c>
      <c r="AD22" s="3">
        <v>82</v>
      </c>
      <c r="AE22" s="3">
        <v>300</v>
      </c>
      <c r="AF22" s="3">
        <v>30</v>
      </c>
      <c r="AG22" t="str">
        <f t="shared" si="6"/>
        <v>False</v>
      </c>
      <c r="AH22" s="3">
        <v>20</v>
      </c>
      <c r="AI22" s="3">
        <v>3</v>
      </c>
      <c r="AJ22" s="3">
        <v>0.8</v>
      </c>
      <c r="AK22" t="str">
        <f t="shared" si="7"/>
        <v>False</v>
      </c>
      <c r="AL22" s="5" t="e">
        <v>#N/A</v>
      </c>
      <c r="AM22" s="5" t="e">
        <v>#N/A</v>
      </c>
      <c r="AN22" s="5" t="e">
        <v>#N/A</v>
      </c>
      <c r="AO22" s="5" t="e">
        <v>#N/A</v>
      </c>
      <c r="AP22" s="5" t="e">
        <v>#N/A</v>
      </c>
      <c r="AQ22" s="5" t="e">
        <v>#N/A</v>
      </c>
      <c r="AR22" s="5" t="e">
        <v>#N/A</v>
      </c>
      <c r="AS22" s="5" t="e">
        <v>#N/A</v>
      </c>
      <c r="AT22" s="5" t="e">
        <v>#N/A</v>
      </c>
      <c r="AU22" s="5" t="e">
        <v>#N/A</v>
      </c>
      <c r="AV22" s="5" t="e">
        <v>#N/A</v>
      </c>
      <c r="AW22" s="5" t="e">
        <v>#N/A</v>
      </c>
    </row>
    <row r="23" spans="1:49" ht="38.1" customHeight="1" x14ac:dyDescent="0.25">
      <c r="A23" s="1" t="s">
        <v>75</v>
      </c>
      <c r="B23" s="5" t="s">
        <v>66</v>
      </c>
      <c r="C23" t="s">
        <v>35</v>
      </c>
      <c r="D23" t="s">
        <v>70</v>
      </c>
      <c r="E23" t="str">
        <f t="shared" si="0"/>
        <v>True</v>
      </c>
      <c r="F23" s="5" t="s">
        <v>10</v>
      </c>
      <c r="G23" t="s">
        <v>9</v>
      </c>
      <c r="H23" s="2">
        <v>8</v>
      </c>
      <c r="I23" t="str">
        <f t="shared" si="1"/>
        <v>False</v>
      </c>
      <c r="J23" t="str">
        <f t="shared" si="1"/>
        <v>False</v>
      </c>
      <c r="K23" t="s">
        <v>28</v>
      </c>
      <c r="L23" t="s">
        <v>29</v>
      </c>
      <c r="M23" t="s">
        <v>54</v>
      </c>
      <c r="N23" s="3">
        <v>300</v>
      </c>
      <c r="O23" t="str">
        <f t="shared" si="3"/>
        <v>True</v>
      </c>
      <c r="P23" s="3">
        <v>1</v>
      </c>
      <c r="Q23" s="3">
        <v>30</v>
      </c>
      <c r="R23" s="3">
        <v>0.5</v>
      </c>
      <c r="S23" t="str">
        <f t="shared" si="4"/>
        <v>False</v>
      </c>
      <c r="T23" s="3">
        <v>0.8</v>
      </c>
      <c r="U23" s="3">
        <v>0.5</v>
      </c>
      <c r="V23" t="str">
        <f t="shared" si="5"/>
        <v>False</v>
      </c>
      <c r="W23" s="3">
        <v>0.8</v>
      </c>
      <c r="X23" s="3">
        <v>50</v>
      </c>
      <c r="Y23" s="3">
        <v>50</v>
      </c>
      <c r="Z23" s="5">
        <v>2</v>
      </c>
      <c r="AA23" s="3">
        <v>3</v>
      </c>
      <c r="AB23" s="3">
        <v>10</v>
      </c>
      <c r="AC23" s="3">
        <v>50</v>
      </c>
      <c r="AD23" s="3">
        <v>82</v>
      </c>
      <c r="AE23" s="3">
        <v>300</v>
      </c>
      <c r="AF23" s="3">
        <v>30</v>
      </c>
      <c r="AG23" t="str">
        <f t="shared" si="6"/>
        <v>False</v>
      </c>
      <c r="AH23" s="3">
        <v>20</v>
      </c>
      <c r="AI23" s="3">
        <v>3</v>
      </c>
      <c r="AJ23" s="3">
        <v>0.8</v>
      </c>
      <c r="AK23" t="str">
        <f t="shared" si="7"/>
        <v>False</v>
      </c>
      <c r="AL23" s="5" t="e">
        <v>#N/A</v>
      </c>
      <c r="AM23" s="5" t="e">
        <v>#N/A</v>
      </c>
      <c r="AN23" s="5" t="e">
        <v>#N/A</v>
      </c>
      <c r="AO23" s="5" t="e">
        <v>#N/A</v>
      </c>
      <c r="AP23" s="5" t="e">
        <v>#N/A</v>
      </c>
      <c r="AQ23" s="5" t="e">
        <v>#N/A</v>
      </c>
      <c r="AR23" s="5" t="e">
        <v>#N/A</v>
      </c>
      <c r="AS23" s="5" t="e">
        <v>#N/A</v>
      </c>
      <c r="AT23" s="5" t="e">
        <v>#N/A</v>
      </c>
      <c r="AU23" s="5" t="e">
        <v>#N/A</v>
      </c>
      <c r="AV23" s="5" t="e">
        <v>#N/A</v>
      </c>
      <c r="AW23" s="5" t="e">
        <v>#N/A</v>
      </c>
    </row>
    <row r="24" spans="1:49" ht="38.1" customHeight="1" x14ac:dyDescent="0.25">
      <c r="A24" s="1" t="s">
        <v>76</v>
      </c>
      <c r="B24" s="5" t="s">
        <v>66</v>
      </c>
      <c r="C24" t="s">
        <v>44</v>
      </c>
      <c r="D24" t="s">
        <v>67</v>
      </c>
      <c r="E24" t="str">
        <f t="shared" si="0"/>
        <v>True</v>
      </c>
      <c r="F24" s="5" t="s">
        <v>10</v>
      </c>
      <c r="G24" t="s">
        <v>9</v>
      </c>
      <c r="H24" s="2">
        <v>2</v>
      </c>
      <c r="I24" t="str">
        <f t="shared" si="1"/>
        <v>False</v>
      </c>
      <c r="J24" t="str">
        <f t="shared" si="2"/>
        <v>True</v>
      </c>
      <c r="K24" t="s">
        <v>28</v>
      </c>
      <c r="L24" t="s">
        <v>29</v>
      </c>
      <c r="M24" t="s">
        <v>54</v>
      </c>
      <c r="N24" s="3">
        <v>300</v>
      </c>
      <c r="O24" t="str">
        <f t="shared" si="3"/>
        <v>True</v>
      </c>
      <c r="P24" s="3">
        <v>1</v>
      </c>
      <c r="Q24" s="3">
        <v>30</v>
      </c>
      <c r="R24" s="3">
        <v>1</v>
      </c>
      <c r="S24" t="str">
        <f t="shared" si="4"/>
        <v>False</v>
      </c>
      <c r="T24" s="3">
        <v>0.8</v>
      </c>
      <c r="U24" s="3">
        <v>0.5</v>
      </c>
      <c r="V24" t="str">
        <f t="shared" si="5"/>
        <v>False</v>
      </c>
      <c r="W24" s="3">
        <v>0.8</v>
      </c>
      <c r="X24" s="3">
        <v>50</v>
      </c>
      <c r="Y24" s="3">
        <v>50</v>
      </c>
      <c r="Z24" s="5">
        <v>2</v>
      </c>
      <c r="AA24" s="3">
        <v>3</v>
      </c>
      <c r="AB24" s="3">
        <v>10</v>
      </c>
      <c r="AC24" s="3">
        <v>50</v>
      </c>
      <c r="AD24" s="3">
        <v>82</v>
      </c>
      <c r="AE24" s="3">
        <v>300</v>
      </c>
      <c r="AF24" s="3">
        <v>30</v>
      </c>
      <c r="AG24" t="str">
        <f t="shared" si="6"/>
        <v>False</v>
      </c>
      <c r="AH24" s="3">
        <v>20</v>
      </c>
      <c r="AI24" s="3">
        <v>3</v>
      </c>
      <c r="AJ24" s="3">
        <v>0.8</v>
      </c>
      <c r="AK24" t="str">
        <f t="shared" si="7"/>
        <v>False</v>
      </c>
      <c r="AL24" s="5" t="e">
        <v>#N/A</v>
      </c>
      <c r="AM24" s="5" t="e">
        <v>#N/A</v>
      </c>
      <c r="AN24" s="5" t="e">
        <v>#N/A</v>
      </c>
      <c r="AO24" s="5" t="e">
        <v>#N/A</v>
      </c>
      <c r="AP24" s="5" t="e">
        <v>#N/A</v>
      </c>
      <c r="AQ24" s="5" t="e">
        <v>#N/A</v>
      </c>
      <c r="AR24" s="5" t="e">
        <v>#N/A</v>
      </c>
      <c r="AS24" s="5" t="e">
        <v>#N/A</v>
      </c>
      <c r="AT24" s="5" t="e">
        <v>#N/A</v>
      </c>
      <c r="AU24" s="5" t="e">
        <v>#N/A</v>
      </c>
      <c r="AV24" s="5" t="e">
        <v>#N/A</v>
      </c>
      <c r="AW24" s="5" t="e">
        <v>#N/A</v>
      </c>
    </row>
    <row r="25" spans="1:49" ht="38.1" customHeight="1" x14ac:dyDescent="0.25">
      <c r="A25" s="1" t="s">
        <v>77</v>
      </c>
      <c r="B25" s="5" t="s">
        <v>66</v>
      </c>
      <c r="C25" t="s">
        <v>35</v>
      </c>
      <c r="D25" t="s">
        <v>70</v>
      </c>
      <c r="E25" t="str">
        <f t="shared" si="0"/>
        <v>True</v>
      </c>
      <c r="F25" s="5" t="s">
        <v>10</v>
      </c>
      <c r="G25" t="s">
        <v>9</v>
      </c>
      <c r="H25" s="2">
        <v>8</v>
      </c>
      <c r="I25" t="str">
        <f t="shared" si="1"/>
        <v>False</v>
      </c>
      <c r="J25" t="str">
        <f t="shared" si="1"/>
        <v>False</v>
      </c>
      <c r="K25" t="s">
        <v>28</v>
      </c>
      <c r="L25" s="5" t="s">
        <v>68</v>
      </c>
      <c r="M25" t="s">
        <v>54</v>
      </c>
      <c r="N25" s="3">
        <v>300</v>
      </c>
      <c r="O25" t="str">
        <f t="shared" si="3"/>
        <v>True</v>
      </c>
      <c r="P25" s="3">
        <v>1</v>
      </c>
      <c r="Q25" s="3">
        <v>30</v>
      </c>
      <c r="R25" s="3">
        <v>1</v>
      </c>
      <c r="S25" t="str">
        <f t="shared" si="4"/>
        <v>False</v>
      </c>
      <c r="T25" s="3">
        <v>0.8</v>
      </c>
      <c r="U25" s="3">
        <v>0.5</v>
      </c>
      <c r="V25" t="str">
        <f t="shared" si="5"/>
        <v>False</v>
      </c>
      <c r="W25" s="3">
        <v>0.8</v>
      </c>
      <c r="X25" s="3">
        <v>50</v>
      </c>
      <c r="Y25" s="3">
        <v>50</v>
      </c>
      <c r="Z25" s="5">
        <v>2</v>
      </c>
      <c r="AA25" s="3">
        <v>3</v>
      </c>
      <c r="AB25" s="3">
        <v>10</v>
      </c>
      <c r="AC25" s="3">
        <v>50</v>
      </c>
      <c r="AD25" s="3">
        <v>82</v>
      </c>
      <c r="AE25" s="3">
        <v>300</v>
      </c>
      <c r="AF25" s="3">
        <v>30</v>
      </c>
      <c r="AG25" t="str">
        <f t="shared" si="6"/>
        <v>False</v>
      </c>
      <c r="AH25" s="3">
        <v>20</v>
      </c>
      <c r="AI25" s="3">
        <v>3</v>
      </c>
      <c r="AJ25" s="3">
        <v>0.8</v>
      </c>
      <c r="AK25" t="str">
        <f t="shared" si="7"/>
        <v>False</v>
      </c>
      <c r="AL25" s="5" t="e">
        <v>#N/A</v>
      </c>
      <c r="AM25" s="5" t="e">
        <v>#N/A</v>
      </c>
      <c r="AN25" s="5" t="e">
        <v>#N/A</v>
      </c>
      <c r="AO25" s="5" t="e">
        <v>#N/A</v>
      </c>
      <c r="AP25" s="5" t="e">
        <v>#N/A</v>
      </c>
      <c r="AQ25" s="5" t="e">
        <v>#N/A</v>
      </c>
      <c r="AR25" s="5" t="e">
        <v>#N/A</v>
      </c>
      <c r="AS25" s="5" t="e">
        <v>#N/A</v>
      </c>
      <c r="AT25" s="5" t="e">
        <v>#N/A</v>
      </c>
      <c r="AU25" s="5" t="e">
        <v>#N/A</v>
      </c>
      <c r="AV25" s="5" t="e">
        <v>#N/A</v>
      </c>
      <c r="AW25" s="5" t="e">
        <v>#N/A</v>
      </c>
    </row>
    <row r="26" spans="1:49" ht="38.1" customHeight="1" x14ac:dyDescent="0.25">
      <c r="A26" s="1" t="s">
        <v>78</v>
      </c>
      <c r="B26" s="5" t="s">
        <v>66</v>
      </c>
      <c r="C26" t="s">
        <v>35</v>
      </c>
      <c r="D26" t="s">
        <v>67</v>
      </c>
      <c r="E26" t="str">
        <f t="shared" si="0"/>
        <v>True</v>
      </c>
      <c r="F26" s="5" t="s">
        <v>10</v>
      </c>
      <c r="G26" t="s">
        <v>9</v>
      </c>
      <c r="H26" s="2">
        <v>8</v>
      </c>
      <c r="I26" t="str">
        <f t="shared" si="1"/>
        <v>False</v>
      </c>
      <c r="J26" t="str">
        <f t="shared" si="2"/>
        <v>True</v>
      </c>
      <c r="K26" t="s">
        <v>28</v>
      </c>
      <c r="L26" t="s">
        <v>29</v>
      </c>
      <c r="M26" t="s">
        <v>54</v>
      </c>
      <c r="N26" s="3">
        <v>300</v>
      </c>
      <c r="O26" t="str">
        <f t="shared" si="3"/>
        <v>True</v>
      </c>
      <c r="P26" s="3">
        <v>1</v>
      </c>
      <c r="Q26" s="3">
        <v>30</v>
      </c>
      <c r="R26" s="3">
        <v>0.75</v>
      </c>
      <c r="S26" t="str">
        <f t="shared" si="4"/>
        <v>False</v>
      </c>
      <c r="T26" s="3">
        <v>0.8</v>
      </c>
      <c r="U26" s="3">
        <v>0.5</v>
      </c>
      <c r="V26" t="str">
        <f t="shared" si="5"/>
        <v>False</v>
      </c>
      <c r="W26" s="3">
        <v>0.8</v>
      </c>
      <c r="X26" s="3">
        <v>50</v>
      </c>
      <c r="Y26" s="3">
        <v>50</v>
      </c>
      <c r="Z26" s="5">
        <v>2</v>
      </c>
      <c r="AA26" s="3">
        <v>3</v>
      </c>
      <c r="AB26" s="3">
        <v>10</v>
      </c>
      <c r="AC26" s="3">
        <v>50</v>
      </c>
      <c r="AD26" s="3">
        <v>82</v>
      </c>
      <c r="AE26" s="3">
        <v>300</v>
      </c>
      <c r="AF26" s="3">
        <v>30</v>
      </c>
      <c r="AG26" t="str">
        <f t="shared" si="6"/>
        <v>False</v>
      </c>
      <c r="AH26" s="3">
        <v>20</v>
      </c>
      <c r="AI26" s="3">
        <v>3</v>
      </c>
      <c r="AJ26" s="3">
        <v>0.8</v>
      </c>
      <c r="AK26" t="str">
        <f t="shared" si="7"/>
        <v>False</v>
      </c>
      <c r="AL26" s="5" t="e">
        <v>#N/A</v>
      </c>
      <c r="AM26" s="5" t="e">
        <v>#N/A</v>
      </c>
      <c r="AN26" s="5" t="e">
        <v>#N/A</v>
      </c>
      <c r="AO26" s="5" t="e">
        <v>#N/A</v>
      </c>
      <c r="AP26" s="5" t="e">
        <v>#N/A</v>
      </c>
      <c r="AQ26" s="5" t="e">
        <v>#N/A</v>
      </c>
      <c r="AR26" s="5" t="e">
        <v>#N/A</v>
      </c>
      <c r="AS26" s="5" t="e">
        <v>#N/A</v>
      </c>
      <c r="AT26" s="5" t="e">
        <v>#N/A</v>
      </c>
      <c r="AU26" s="5" t="e">
        <v>#N/A</v>
      </c>
      <c r="AV26" s="5" t="e">
        <v>#N/A</v>
      </c>
      <c r="AW26" s="5" t="e">
        <v>#N/A</v>
      </c>
    </row>
    <row r="27" spans="1:49" ht="38.1" customHeight="1" x14ac:dyDescent="0.25">
      <c r="A27" s="1" t="s">
        <v>79</v>
      </c>
      <c r="B27" s="5" t="s">
        <v>66</v>
      </c>
      <c r="C27" t="s">
        <v>44</v>
      </c>
      <c r="D27" t="s">
        <v>80</v>
      </c>
      <c r="E27" t="str">
        <f t="shared" si="0"/>
        <v>True</v>
      </c>
      <c r="F27" s="5" t="s">
        <v>10</v>
      </c>
      <c r="G27" t="s">
        <v>9</v>
      </c>
      <c r="H27" s="2">
        <v>2</v>
      </c>
      <c r="I27" t="str">
        <f t="shared" si="1"/>
        <v>False</v>
      </c>
      <c r="J27" t="str">
        <f t="shared" si="2"/>
        <v>True</v>
      </c>
      <c r="K27" t="s">
        <v>28</v>
      </c>
      <c r="L27" t="s">
        <v>29</v>
      </c>
      <c r="M27" t="s">
        <v>54</v>
      </c>
      <c r="N27" s="3">
        <v>300</v>
      </c>
      <c r="O27" t="str">
        <f t="shared" si="3"/>
        <v>True</v>
      </c>
      <c r="P27" s="3">
        <v>1</v>
      </c>
      <c r="Q27" s="3">
        <v>30</v>
      </c>
      <c r="R27" s="3">
        <v>1.5</v>
      </c>
      <c r="S27" t="str">
        <f t="shared" si="4"/>
        <v>False</v>
      </c>
      <c r="T27" s="3">
        <v>0.8</v>
      </c>
      <c r="U27" s="3">
        <v>0.5</v>
      </c>
      <c r="V27" t="str">
        <f t="shared" si="5"/>
        <v>False</v>
      </c>
      <c r="W27" s="3">
        <v>0.8</v>
      </c>
      <c r="X27" s="3">
        <v>50</v>
      </c>
      <c r="Y27" s="3">
        <v>50</v>
      </c>
      <c r="Z27" s="5">
        <v>2</v>
      </c>
      <c r="AA27" s="3">
        <v>3</v>
      </c>
      <c r="AB27" s="3">
        <v>10</v>
      </c>
      <c r="AC27" s="3">
        <v>50</v>
      </c>
      <c r="AD27" s="3">
        <v>82</v>
      </c>
      <c r="AE27" s="3">
        <v>300</v>
      </c>
      <c r="AF27" s="3">
        <v>30</v>
      </c>
      <c r="AG27" t="str">
        <f t="shared" si="6"/>
        <v>False</v>
      </c>
      <c r="AH27" s="3">
        <v>20</v>
      </c>
      <c r="AI27" s="3">
        <v>3</v>
      </c>
      <c r="AJ27" s="3">
        <v>0.8</v>
      </c>
      <c r="AK27" t="str">
        <f t="shared" si="7"/>
        <v>False</v>
      </c>
      <c r="AL27" s="5" t="e">
        <v>#N/A</v>
      </c>
      <c r="AM27" s="5" t="e">
        <v>#N/A</v>
      </c>
      <c r="AN27" s="5" t="e">
        <v>#N/A</v>
      </c>
      <c r="AO27" s="5" t="e">
        <v>#N/A</v>
      </c>
      <c r="AP27" s="5" t="e">
        <v>#N/A</v>
      </c>
      <c r="AQ27" s="5" t="e">
        <v>#N/A</v>
      </c>
      <c r="AR27" s="5" t="e">
        <v>#N/A</v>
      </c>
      <c r="AS27" s="5" t="e">
        <v>#N/A</v>
      </c>
      <c r="AT27" s="5" t="e">
        <v>#N/A</v>
      </c>
      <c r="AU27" s="5" t="e">
        <v>#N/A</v>
      </c>
      <c r="AV27" s="5" t="e">
        <v>#N/A</v>
      </c>
      <c r="AW27" s="5" t="e">
        <v>#N/A</v>
      </c>
    </row>
    <row r="28" spans="1:49" ht="38.1" customHeight="1" x14ac:dyDescent="0.25">
      <c r="A28" s="1" t="s">
        <v>81</v>
      </c>
      <c r="B28" s="5" t="s">
        <v>66</v>
      </c>
      <c r="C28" t="s">
        <v>35</v>
      </c>
      <c r="D28" t="s">
        <v>67</v>
      </c>
      <c r="E28" t="str">
        <f t="shared" si="0"/>
        <v>True</v>
      </c>
      <c r="F28" s="5" t="s">
        <v>10</v>
      </c>
      <c r="G28" t="s">
        <v>9</v>
      </c>
      <c r="H28" s="2">
        <v>8</v>
      </c>
      <c r="I28" t="str">
        <f t="shared" si="1"/>
        <v>False</v>
      </c>
      <c r="J28" t="str">
        <f t="shared" si="2"/>
        <v>True</v>
      </c>
      <c r="K28" t="s">
        <v>28</v>
      </c>
      <c r="L28" s="5" t="s">
        <v>68</v>
      </c>
      <c r="M28" t="s">
        <v>54</v>
      </c>
      <c r="N28" s="3">
        <v>300</v>
      </c>
      <c r="O28" t="str">
        <f t="shared" si="3"/>
        <v>True</v>
      </c>
      <c r="P28" s="3">
        <v>1</v>
      </c>
      <c r="Q28" s="3">
        <v>30</v>
      </c>
      <c r="R28" s="3">
        <v>0.75</v>
      </c>
      <c r="S28" t="str">
        <f t="shared" si="4"/>
        <v>False</v>
      </c>
      <c r="T28" s="3">
        <v>0.8</v>
      </c>
      <c r="U28" s="3">
        <v>0.5</v>
      </c>
      <c r="V28" t="str">
        <f t="shared" si="5"/>
        <v>False</v>
      </c>
      <c r="W28" s="3">
        <v>0.8</v>
      </c>
      <c r="X28" s="3">
        <v>50</v>
      </c>
      <c r="Y28" s="3">
        <v>50</v>
      </c>
      <c r="Z28" s="5">
        <v>2</v>
      </c>
      <c r="AA28" s="3">
        <v>3</v>
      </c>
      <c r="AB28" s="3">
        <v>10</v>
      </c>
      <c r="AC28" s="3">
        <v>50</v>
      </c>
      <c r="AD28" s="3">
        <v>82</v>
      </c>
      <c r="AE28" s="3">
        <v>300</v>
      </c>
      <c r="AF28" s="3">
        <v>30</v>
      </c>
      <c r="AG28" t="str">
        <f t="shared" si="6"/>
        <v>False</v>
      </c>
      <c r="AH28" s="3">
        <v>20</v>
      </c>
      <c r="AI28" s="3">
        <v>3</v>
      </c>
      <c r="AJ28" s="3">
        <v>0.8</v>
      </c>
      <c r="AK28" t="str">
        <f t="shared" si="7"/>
        <v>False</v>
      </c>
      <c r="AL28" s="5" t="e">
        <v>#N/A</v>
      </c>
      <c r="AM28" s="5" t="e">
        <v>#N/A</v>
      </c>
      <c r="AN28" s="5" t="e">
        <v>#N/A</v>
      </c>
      <c r="AO28" s="5" t="e">
        <v>#N/A</v>
      </c>
      <c r="AP28" s="5" t="e">
        <v>#N/A</v>
      </c>
      <c r="AQ28" s="5" t="e">
        <v>#N/A</v>
      </c>
      <c r="AR28" s="5" t="e">
        <v>#N/A</v>
      </c>
      <c r="AS28" s="5" t="e">
        <v>#N/A</v>
      </c>
      <c r="AT28" s="5" t="e">
        <v>#N/A</v>
      </c>
      <c r="AU28" s="5" t="e">
        <v>#N/A</v>
      </c>
      <c r="AV28" s="5" t="e">
        <v>#N/A</v>
      </c>
      <c r="AW28" s="5" t="e">
        <v>#N/A</v>
      </c>
    </row>
    <row r="29" spans="1:49" ht="38.1" customHeight="1" x14ac:dyDescent="0.25">
      <c r="A29" s="1" t="s">
        <v>82</v>
      </c>
      <c r="B29" t="s">
        <v>43</v>
      </c>
      <c r="C29" t="s">
        <v>44</v>
      </c>
      <c r="D29" t="e">
        <f>#N/A</f>
        <v>#N/A</v>
      </c>
      <c r="E29" t="str">
        <f>PROPER(FALSE)</f>
        <v>False</v>
      </c>
      <c r="F29" s="5" t="s">
        <v>10</v>
      </c>
      <c r="G29" t="s">
        <v>9</v>
      </c>
      <c r="H29" s="2">
        <v>8</v>
      </c>
      <c r="I29" t="str">
        <f t="shared" si="1"/>
        <v>False</v>
      </c>
      <c r="J29" t="str">
        <f t="shared" si="1"/>
        <v>False</v>
      </c>
      <c r="K29" t="s">
        <v>28</v>
      </c>
      <c r="L29" t="s">
        <v>29</v>
      </c>
      <c r="M29" t="s">
        <v>54</v>
      </c>
      <c r="N29" s="3">
        <v>300</v>
      </c>
      <c r="O29" t="str">
        <f t="shared" ref="O29:O31" si="8">PROPER(FALSE)</f>
        <v>False</v>
      </c>
      <c r="P29" s="3">
        <v>1</v>
      </c>
      <c r="Q29" s="3">
        <v>30</v>
      </c>
      <c r="R29" s="3">
        <v>1.5</v>
      </c>
      <c r="S29" t="str">
        <f t="shared" si="4"/>
        <v>False</v>
      </c>
      <c r="T29" s="3">
        <v>0.8</v>
      </c>
      <c r="U29" s="3">
        <v>0.5</v>
      </c>
      <c r="V29" t="str">
        <f t="shared" si="5"/>
        <v>False</v>
      </c>
      <c r="W29" s="3">
        <v>0.8</v>
      </c>
      <c r="X29" s="3">
        <v>50</v>
      </c>
      <c r="Y29" s="3">
        <v>50</v>
      </c>
      <c r="Z29" s="5">
        <v>2</v>
      </c>
      <c r="AA29" s="3">
        <v>3</v>
      </c>
      <c r="AB29" s="3">
        <v>10</v>
      </c>
      <c r="AC29" s="3">
        <v>50</v>
      </c>
      <c r="AD29" s="3">
        <v>82</v>
      </c>
      <c r="AE29" s="3">
        <v>300</v>
      </c>
      <c r="AF29" s="3">
        <v>30</v>
      </c>
      <c r="AG29" t="str">
        <f t="shared" ref="AG29:AG31" si="9">PROPER(TRUE)</f>
        <v>True</v>
      </c>
      <c r="AH29" s="3">
        <v>20</v>
      </c>
      <c r="AI29" s="3">
        <v>3</v>
      </c>
      <c r="AJ29" s="3">
        <v>0.8</v>
      </c>
      <c r="AK29" t="str">
        <f t="shared" si="7"/>
        <v>False</v>
      </c>
      <c r="AL29" s="5" t="e">
        <v>#N/A</v>
      </c>
      <c r="AM29" s="5" t="e">
        <v>#N/A</v>
      </c>
      <c r="AN29" s="5" t="e">
        <v>#N/A</v>
      </c>
      <c r="AO29" s="5" t="e">
        <v>#N/A</v>
      </c>
      <c r="AP29" s="5" t="e">
        <v>#N/A</v>
      </c>
      <c r="AQ29" s="5" t="e">
        <v>#N/A</v>
      </c>
      <c r="AR29" s="5" t="e">
        <v>#N/A</v>
      </c>
      <c r="AS29" s="5" t="e">
        <v>#N/A</v>
      </c>
      <c r="AT29" s="5" t="e">
        <v>#N/A</v>
      </c>
      <c r="AU29" s="5" t="e">
        <v>#N/A</v>
      </c>
      <c r="AV29" s="5" t="e">
        <v>#N/A</v>
      </c>
      <c r="AW29" s="5" t="e">
        <v>#N/A</v>
      </c>
    </row>
    <row r="30" spans="1:49" ht="38.1" customHeight="1" x14ac:dyDescent="0.25">
      <c r="A30" s="1" t="s">
        <v>83</v>
      </c>
      <c r="B30" t="s">
        <v>43</v>
      </c>
      <c r="C30" t="s">
        <v>44</v>
      </c>
      <c r="D30" t="e">
        <f>#N/A</f>
        <v>#N/A</v>
      </c>
      <c r="E30" t="str">
        <f>PROPER(FALSE)</f>
        <v>False</v>
      </c>
      <c r="F30" s="5" t="s">
        <v>10</v>
      </c>
      <c r="G30" t="s">
        <v>9</v>
      </c>
      <c r="H30" s="2">
        <v>8</v>
      </c>
      <c r="I30" t="str">
        <f t="shared" si="1"/>
        <v>False</v>
      </c>
      <c r="J30" t="str">
        <f t="shared" si="1"/>
        <v>False</v>
      </c>
      <c r="K30" t="s">
        <v>84</v>
      </c>
      <c r="L30" t="s">
        <v>29</v>
      </c>
      <c r="M30" t="s">
        <v>54</v>
      </c>
      <c r="N30" s="3">
        <v>300</v>
      </c>
      <c r="O30" t="str">
        <f t="shared" si="8"/>
        <v>False</v>
      </c>
      <c r="P30" s="3">
        <v>1</v>
      </c>
      <c r="Q30" s="3">
        <v>30</v>
      </c>
      <c r="R30" s="3">
        <v>1.5</v>
      </c>
      <c r="S30" t="str">
        <f t="shared" si="4"/>
        <v>False</v>
      </c>
      <c r="T30" s="3">
        <v>0.8</v>
      </c>
      <c r="U30" s="3">
        <v>0.5</v>
      </c>
      <c r="V30" t="str">
        <f t="shared" si="5"/>
        <v>False</v>
      </c>
      <c r="W30" s="3">
        <v>0.8</v>
      </c>
      <c r="X30" s="3">
        <v>50</v>
      </c>
      <c r="Y30" s="3">
        <v>50</v>
      </c>
      <c r="Z30" s="5">
        <v>2</v>
      </c>
      <c r="AA30" s="3">
        <v>3</v>
      </c>
      <c r="AB30" s="3">
        <v>10</v>
      </c>
      <c r="AC30" s="3">
        <v>50</v>
      </c>
      <c r="AD30" s="3">
        <v>82</v>
      </c>
      <c r="AE30" s="3">
        <v>300</v>
      </c>
      <c r="AF30" s="3">
        <v>30</v>
      </c>
      <c r="AG30" t="str">
        <f t="shared" si="9"/>
        <v>True</v>
      </c>
      <c r="AH30" s="3">
        <v>20</v>
      </c>
      <c r="AI30" s="3">
        <v>3</v>
      </c>
      <c r="AJ30" s="3">
        <v>0.8</v>
      </c>
      <c r="AK30" t="str">
        <f t="shared" si="7"/>
        <v>False</v>
      </c>
      <c r="AL30" s="5" t="e">
        <v>#N/A</v>
      </c>
      <c r="AM30" s="5" t="e">
        <v>#N/A</v>
      </c>
      <c r="AN30" s="5" t="e">
        <v>#N/A</v>
      </c>
      <c r="AO30" s="5" t="e">
        <v>#N/A</v>
      </c>
      <c r="AP30" s="5" t="e">
        <v>#N/A</v>
      </c>
      <c r="AQ30" s="5" t="e">
        <v>#N/A</v>
      </c>
      <c r="AR30" s="5" t="e">
        <v>#N/A</v>
      </c>
      <c r="AS30" s="5" t="e">
        <v>#N/A</v>
      </c>
      <c r="AT30" s="5" t="e">
        <v>#N/A</v>
      </c>
      <c r="AU30" s="5" t="e">
        <v>#N/A</v>
      </c>
      <c r="AV30" s="5" t="e">
        <v>#N/A</v>
      </c>
      <c r="AW30" s="5" t="e">
        <v>#N/A</v>
      </c>
    </row>
    <row r="31" spans="1:49" ht="38.1" customHeight="1" x14ac:dyDescent="0.25">
      <c r="A31" s="1" t="s">
        <v>85</v>
      </c>
      <c r="B31" t="s">
        <v>43</v>
      </c>
      <c r="C31" t="s">
        <v>44</v>
      </c>
      <c r="D31" t="e">
        <f>#N/A</f>
        <v>#N/A</v>
      </c>
      <c r="E31" t="str">
        <f>PROPER(FALSE)</f>
        <v>False</v>
      </c>
      <c r="F31" s="5" t="s">
        <v>10</v>
      </c>
      <c r="G31" t="s">
        <v>9</v>
      </c>
      <c r="H31" s="2">
        <v>8</v>
      </c>
      <c r="I31" t="str">
        <f t="shared" si="1"/>
        <v>False</v>
      </c>
      <c r="J31" t="str">
        <f t="shared" si="1"/>
        <v>False</v>
      </c>
      <c r="K31" t="s">
        <v>84</v>
      </c>
      <c r="L31" t="s">
        <v>29</v>
      </c>
      <c r="M31" t="s">
        <v>54</v>
      </c>
      <c r="N31" s="3">
        <v>300</v>
      </c>
      <c r="O31" t="str">
        <f t="shared" si="8"/>
        <v>False</v>
      </c>
      <c r="P31" s="3">
        <v>1</v>
      </c>
      <c r="Q31" s="3">
        <v>30</v>
      </c>
      <c r="R31" s="3">
        <v>1.5</v>
      </c>
      <c r="S31" t="str">
        <f t="shared" si="4"/>
        <v>False</v>
      </c>
      <c r="T31" s="3">
        <v>0.8</v>
      </c>
      <c r="U31" s="3">
        <v>0.5</v>
      </c>
      <c r="V31" t="str">
        <f t="shared" si="5"/>
        <v>False</v>
      </c>
      <c r="W31" s="3">
        <v>0.8</v>
      </c>
      <c r="X31" s="3">
        <v>50</v>
      </c>
      <c r="Y31" s="3">
        <v>50</v>
      </c>
      <c r="Z31" s="5">
        <v>2</v>
      </c>
      <c r="AA31" s="3">
        <v>3</v>
      </c>
      <c r="AB31" s="3">
        <v>10</v>
      </c>
      <c r="AC31" s="3">
        <v>50</v>
      </c>
      <c r="AD31" s="3">
        <v>82</v>
      </c>
      <c r="AE31" s="3">
        <v>300</v>
      </c>
      <c r="AF31" s="3">
        <v>30</v>
      </c>
      <c r="AG31" t="str">
        <f t="shared" si="9"/>
        <v>True</v>
      </c>
      <c r="AH31" s="3">
        <v>20</v>
      </c>
      <c r="AI31" s="3">
        <v>3</v>
      </c>
      <c r="AJ31" s="3">
        <v>0.8</v>
      </c>
      <c r="AK31" t="str">
        <f t="shared" si="7"/>
        <v>False</v>
      </c>
      <c r="AL31" s="5" t="e">
        <v>#N/A</v>
      </c>
      <c r="AM31" s="5" t="e">
        <v>#N/A</v>
      </c>
      <c r="AN31" s="5" t="e">
        <v>#N/A</v>
      </c>
      <c r="AO31" s="5" t="e">
        <v>#N/A</v>
      </c>
      <c r="AP31" s="5" t="e">
        <v>#N/A</v>
      </c>
      <c r="AQ31" s="5" t="e">
        <v>#N/A</v>
      </c>
      <c r="AR31" s="5" t="e">
        <v>#N/A</v>
      </c>
      <c r="AS31" s="5" t="e">
        <v>#N/A</v>
      </c>
      <c r="AT31" s="5" t="e">
        <v>#N/A</v>
      </c>
      <c r="AU31" s="5" t="e">
        <v>#N/A</v>
      </c>
      <c r="AV31" s="5" t="e">
        <v>#N/A</v>
      </c>
      <c r="AW31" s="5" t="e">
        <v>#N/A</v>
      </c>
    </row>
    <row r="32" spans="1:49" ht="38.1" customHeight="1" x14ac:dyDescent="0.25">
      <c r="A32" s="1" t="s">
        <v>86</v>
      </c>
      <c r="B32" s="5" t="s">
        <v>66</v>
      </c>
      <c r="C32" t="s">
        <v>44</v>
      </c>
      <c r="D32" t="s">
        <v>67</v>
      </c>
      <c r="E32" t="str">
        <f t="shared" si="0"/>
        <v>True</v>
      </c>
      <c r="F32" s="5" t="s">
        <v>10</v>
      </c>
      <c r="G32" t="s">
        <v>9</v>
      </c>
      <c r="H32" s="2">
        <v>4</v>
      </c>
      <c r="I32" t="str">
        <f t="shared" si="1"/>
        <v>False</v>
      </c>
      <c r="J32" t="str">
        <f t="shared" ref="J32:J36" si="10">PROPER(TRUE)</f>
        <v>True</v>
      </c>
      <c r="K32" t="s">
        <v>28</v>
      </c>
      <c r="L32" t="s">
        <v>29</v>
      </c>
      <c r="M32" t="s">
        <v>54</v>
      </c>
      <c r="N32" s="3">
        <v>300</v>
      </c>
      <c r="O32" t="str">
        <f t="shared" ref="O32:O36" si="11">PROPER(TRUE)</f>
        <v>True</v>
      </c>
      <c r="P32" s="3">
        <v>1</v>
      </c>
      <c r="Q32" s="3">
        <v>30</v>
      </c>
      <c r="R32" s="3">
        <v>1</v>
      </c>
      <c r="S32" t="str">
        <f t="shared" si="4"/>
        <v>False</v>
      </c>
      <c r="T32" s="3">
        <v>0.8</v>
      </c>
      <c r="U32" s="3">
        <v>0.5</v>
      </c>
      <c r="V32" t="str">
        <f t="shared" si="5"/>
        <v>False</v>
      </c>
      <c r="W32" s="3">
        <v>0.8</v>
      </c>
      <c r="X32" s="3">
        <v>50</v>
      </c>
      <c r="Y32" s="3">
        <v>50</v>
      </c>
      <c r="Z32" s="5">
        <v>2</v>
      </c>
      <c r="AA32" s="3">
        <v>3</v>
      </c>
      <c r="AB32" s="3">
        <v>10</v>
      </c>
      <c r="AC32" s="3">
        <v>50</v>
      </c>
      <c r="AD32" s="3">
        <v>82</v>
      </c>
      <c r="AE32" s="3">
        <v>300</v>
      </c>
      <c r="AF32" s="3">
        <v>30</v>
      </c>
      <c r="AG32" t="str">
        <f t="shared" ref="AG32:AG36" si="12">PROPER(FALSE)</f>
        <v>False</v>
      </c>
      <c r="AH32" s="3">
        <v>20</v>
      </c>
      <c r="AI32" s="3">
        <v>3</v>
      </c>
      <c r="AJ32" s="3">
        <v>0.8</v>
      </c>
      <c r="AK32" t="str">
        <f t="shared" si="7"/>
        <v>False</v>
      </c>
      <c r="AL32" s="5" t="e">
        <v>#N/A</v>
      </c>
      <c r="AM32" s="5" t="e">
        <v>#N/A</v>
      </c>
      <c r="AN32" s="5" t="e">
        <v>#N/A</v>
      </c>
      <c r="AO32" s="5" t="e">
        <v>#N/A</v>
      </c>
      <c r="AP32" s="5" t="e">
        <v>#N/A</v>
      </c>
      <c r="AQ32" s="5" t="e">
        <v>#N/A</v>
      </c>
      <c r="AR32" s="5" t="e">
        <v>#N/A</v>
      </c>
      <c r="AS32" s="5" t="e">
        <v>#N/A</v>
      </c>
      <c r="AT32" s="5" t="e">
        <v>#N/A</v>
      </c>
      <c r="AU32" s="5" t="e">
        <v>#N/A</v>
      </c>
      <c r="AV32" s="5" t="e">
        <v>#N/A</v>
      </c>
      <c r="AW32" s="5" t="e">
        <v>#N/A</v>
      </c>
    </row>
    <row r="33" spans="1:49" ht="38.1" customHeight="1" x14ac:dyDescent="0.25">
      <c r="A33" s="1" t="s">
        <v>87</v>
      </c>
      <c r="B33" s="5" t="s">
        <v>66</v>
      </c>
      <c r="C33" t="s">
        <v>44</v>
      </c>
      <c r="D33" t="s">
        <v>88</v>
      </c>
      <c r="E33" t="str">
        <f t="shared" si="0"/>
        <v>True</v>
      </c>
      <c r="F33" s="5" t="s">
        <v>10</v>
      </c>
      <c r="G33" t="s">
        <v>9</v>
      </c>
      <c r="H33" s="2">
        <v>2</v>
      </c>
      <c r="I33" t="str">
        <f t="shared" ref="I33:I36" si="13">PROPER(FALSE)</f>
        <v>False</v>
      </c>
      <c r="J33" t="str">
        <f t="shared" si="10"/>
        <v>True</v>
      </c>
      <c r="K33" t="s">
        <v>28</v>
      </c>
      <c r="L33" t="s">
        <v>29</v>
      </c>
      <c r="M33" t="s">
        <v>54</v>
      </c>
      <c r="N33" s="3">
        <v>300</v>
      </c>
      <c r="O33" t="str">
        <f t="shared" si="11"/>
        <v>True</v>
      </c>
      <c r="P33" s="3">
        <v>1</v>
      </c>
      <c r="Q33" s="3">
        <v>30</v>
      </c>
      <c r="R33" s="3">
        <v>1.75</v>
      </c>
      <c r="S33" t="str">
        <f t="shared" si="4"/>
        <v>False</v>
      </c>
      <c r="T33" s="3">
        <v>0.8</v>
      </c>
      <c r="U33" s="3">
        <v>0.5</v>
      </c>
      <c r="V33" t="str">
        <f t="shared" si="5"/>
        <v>False</v>
      </c>
      <c r="W33" s="3">
        <v>0.8</v>
      </c>
      <c r="X33" s="3">
        <v>50</v>
      </c>
      <c r="Y33" s="3">
        <v>50</v>
      </c>
      <c r="Z33" s="5">
        <v>2</v>
      </c>
      <c r="AA33" s="3">
        <v>3</v>
      </c>
      <c r="AB33" s="3">
        <v>10</v>
      </c>
      <c r="AC33" s="3">
        <v>50</v>
      </c>
      <c r="AD33" s="3">
        <v>82</v>
      </c>
      <c r="AE33" s="3">
        <v>300</v>
      </c>
      <c r="AF33" s="3">
        <v>30</v>
      </c>
      <c r="AG33" t="str">
        <f t="shared" si="12"/>
        <v>False</v>
      </c>
      <c r="AH33" s="3">
        <v>20</v>
      </c>
      <c r="AI33" s="3">
        <v>3</v>
      </c>
      <c r="AJ33" s="3">
        <v>0.8</v>
      </c>
      <c r="AK33" t="str">
        <f t="shared" si="7"/>
        <v>False</v>
      </c>
      <c r="AL33" s="5" t="e">
        <v>#N/A</v>
      </c>
      <c r="AM33" s="5" t="e">
        <v>#N/A</v>
      </c>
      <c r="AN33" s="5" t="e">
        <v>#N/A</v>
      </c>
      <c r="AO33" s="5" t="e">
        <v>#N/A</v>
      </c>
      <c r="AP33" s="5" t="e">
        <v>#N/A</v>
      </c>
      <c r="AQ33" s="5" t="e">
        <v>#N/A</v>
      </c>
      <c r="AR33" s="5" t="e">
        <v>#N/A</v>
      </c>
      <c r="AS33" s="5" t="e">
        <v>#N/A</v>
      </c>
      <c r="AT33" s="5" t="e">
        <v>#N/A</v>
      </c>
      <c r="AU33" s="5" t="e">
        <v>#N/A</v>
      </c>
      <c r="AV33" s="5" t="e">
        <v>#N/A</v>
      </c>
      <c r="AW33" s="5" t="e">
        <v>#N/A</v>
      </c>
    </row>
    <row r="34" spans="1:49" ht="38.1" customHeight="1" x14ac:dyDescent="0.25">
      <c r="A34" s="1" t="s">
        <v>89</v>
      </c>
      <c r="B34" s="5" t="s">
        <v>66</v>
      </c>
      <c r="C34" t="s">
        <v>44</v>
      </c>
      <c r="D34" t="s">
        <v>88</v>
      </c>
      <c r="E34" t="str">
        <f t="shared" si="0"/>
        <v>True</v>
      </c>
      <c r="F34" s="5" t="s">
        <v>10</v>
      </c>
      <c r="G34" t="s">
        <v>9</v>
      </c>
      <c r="H34" s="2">
        <v>2</v>
      </c>
      <c r="I34" t="str">
        <f t="shared" si="13"/>
        <v>False</v>
      </c>
      <c r="J34" t="str">
        <f t="shared" si="10"/>
        <v>True</v>
      </c>
      <c r="K34" t="s">
        <v>28</v>
      </c>
      <c r="L34" t="s">
        <v>29</v>
      </c>
      <c r="M34" t="s">
        <v>54</v>
      </c>
      <c r="N34" s="3">
        <v>300</v>
      </c>
      <c r="O34" t="str">
        <f t="shared" si="11"/>
        <v>True</v>
      </c>
      <c r="P34" s="3">
        <v>1</v>
      </c>
      <c r="Q34" s="3">
        <v>30</v>
      </c>
      <c r="R34" s="3">
        <v>1.5</v>
      </c>
      <c r="S34" t="str">
        <f t="shared" si="4"/>
        <v>False</v>
      </c>
      <c r="T34" s="3">
        <v>0.8</v>
      </c>
      <c r="U34" s="3">
        <v>0.5</v>
      </c>
      <c r="V34" t="str">
        <f t="shared" si="5"/>
        <v>False</v>
      </c>
      <c r="W34" s="3">
        <v>0.8</v>
      </c>
      <c r="X34" s="3">
        <v>50</v>
      </c>
      <c r="Y34" s="3">
        <v>50</v>
      </c>
      <c r="Z34" s="5">
        <v>2</v>
      </c>
      <c r="AA34" s="3">
        <v>3</v>
      </c>
      <c r="AB34" s="3">
        <v>10</v>
      </c>
      <c r="AC34" s="3">
        <v>50</v>
      </c>
      <c r="AD34" s="3">
        <v>82</v>
      </c>
      <c r="AE34" s="3">
        <v>300</v>
      </c>
      <c r="AF34" s="3">
        <v>30</v>
      </c>
      <c r="AG34" t="str">
        <f t="shared" si="12"/>
        <v>False</v>
      </c>
      <c r="AH34" s="3">
        <v>20</v>
      </c>
      <c r="AI34" s="3">
        <v>3</v>
      </c>
      <c r="AJ34" s="3">
        <v>0.8</v>
      </c>
      <c r="AK34" t="str">
        <f t="shared" si="7"/>
        <v>False</v>
      </c>
      <c r="AL34" s="5" t="e">
        <v>#N/A</v>
      </c>
      <c r="AM34" s="5" t="e">
        <v>#N/A</v>
      </c>
      <c r="AN34" s="5" t="e">
        <v>#N/A</v>
      </c>
      <c r="AO34" s="5" t="e">
        <v>#N/A</v>
      </c>
      <c r="AP34" s="5" t="e">
        <v>#N/A</v>
      </c>
      <c r="AQ34" s="5" t="e">
        <v>#N/A</v>
      </c>
      <c r="AR34" s="5" t="e">
        <v>#N/A</v>
      </c>
      <c r="AS34" s="5" t="e">
        <v>#N/A</v>
      </c>
      <c r="AT34" s="5" t="e">
        <v>#N/A</v>
      </c>
      <c r="AU34" s="5" t="e">
        <v>#N/A</v>
      </c>
      <c r="AV34" s="5" t="e">
        <v>#N/A</v>
      </c>
      <c r="AW34" s="5" t="e">
        <v>#N/A</v>
      </c>
    </row>
    <row r="35" spans="1:49" ht="38.1" customHeight="1" x14ac:dyDescent="0.25">
      <c r="A35" s="1" t="s">
        <v>90</v>
      </c>
      <c r="B35" s="5" t="s">
        <v>66</v>
      </c>
      <c r="C35" t="s">
        <v>91</v>
      </c>
      <c r="D35" t="s">
        <v>88</v>
      </c>
      <c r="E35" t="str">
        <f t="shared" si="0"/>
        <v>True</v>
      </c>
      <c r="F35" s="5" t="s">
        <v>10</v>
      </c>
      <c r="G35" t="s">
        <v>9</v>
      </c>
      <c r="H35" s="2">
        <v>2</v>
      </c>
      <c r="I35" t="str">
        <f t="shared" si="13"/>
        <v>False</v>
      </c>
      <c r="J35" t="str">
        <f t="shared" si="10"/>
        <v>True</v>
      </c>
      <c r="K35" t="s">
        <v>28</v>
      </c>
      <c r="L35" s="5" t="s">
        <v>68</v>
      </c>
      <c r="M35" t="s">
        <v>54</v>
      </c>
      <c r="N35" s="3">
        <v>300</v>
      </c>
      <c r="O35" t="str">
        <f t="shared" si="11"/>
        <v>True</v>
      </c>
      <c r="P35" s="3">
        <v>1</v>
      </c>
      <c r="Q35" s="3">
        <v>30</v>
      </c>
      <c r="R35" s="3">
        <v>1.5</v>
      </c>
      <c r="S35" t="str">
        <f t="shared" si="4"/>
        <v>False</v>
      </c>
      <c r="T35" s="3">
        <v>0.8</v>
      </c>
      <c r="U35" s="3">
        <v>0.5</v>
      </c>
      <c r="V35" t="str">
        <f t="shared" si="5"/>
        <v>False</v>
      </c>
      <c r="W35" s="3">
        <v>0.8</v>
      </c>
      <c r="X35" s="3">
        <v>50</v>
      </c>
      <c r="Y35" s="3">
        <v>50</v>
      </c>
      <c r="Z35" s="5">
        <v>1</v>
      </c>
      <c r="AA35" s="3">
        <v>3</v>
      </c>
      <c r="AB35" s="3">
        <v>10</v>
      </c>
      <c r="AC35" s="3">
        <v>50</v>
      </c>
      <c r="AD35" s="3">
        <v>82</v>
      </c>
      <c r="AE35" s="3">
        <v>300</v>
      </c>
      <c r="AF35" s="3">
        <v>30</v>
      </c>
      <c r="AG35" t="str">
        <f t="shared" si="12"/>
        <v>False</v>
      </c>
      <c r="AH35" s="3">
        <v>20</v>
      </c>
      <c r="AI35" s="3">
        <v>3</v>
      </c>
      <c r="AJ35" s="3">
        <v>0.8</v>
      </c>
      <c r="AK35" t="str">
        <f t="shared" si="7"/>
        <v>False</v>
      </c>
      <c r="AL35" s="5" t="e">
        <v>#N/A</v>
      </c>
      <c r="AM35" s="5" t="e">
        <v>#N/A</v>
      </c>
      <c r="AN35" s="5" t="e">
        <v>#N/A</v>
      </c>
      <c r="AO35" s="5" t="e">
        <v>#N/A</v>
      </c>
      <c r="AP35" s="5" t="e">
        <v>#N/A</v>
      </c>
      <c r="AQ35" s="5" t="e">
        <v>#N/A</v>
      </c>
      <c r="AR35" s="5" t="e">
        <v>#N/A</v>
      </c>
      <c r="AS35" s="5" t="e">
        <v>#N/A</v>
      </c>
      <c r="AT35" s="5" t="e">
        <v>#N/A</v>
      </c>
      <c r="AU35" s="5" t="e">
        <v>#N/A</v>
      </c>
      <c r="AV35" s="5" t="e">
        <v>#N/A</v>
      </c>
      <c r="AW35" s="5" t="e">
        <v>#N/A</v>
      </c>
    </row>
    <row r="36" spans="1:49" ht="38.1" customHeight="1" x14ac:dyDescent="0.25">
      <c r="A36" s="1" t="s">
        <v>92</v>
      </c>
      <c r="B36" s="5" t="s">
        <v>66</v>
      </c>
      <c r="C36" t="s">
        <v>91</v>
      </c>
      <c r="D36" t="s">
        <v>93</v>
      </c>
      <c r="E36" t="str">
        <f t="shared" si="0"/>
        <v>True</v>
      </c>
      <c r="F36" s="5" t="s">
        <v>10</v>
      </c>
      <c r="G36" t="s">
        <v>9</v>
      </c>
      <c r="H36" s="2">
        <v>2</v>
      </c>
      <c r="I36" t="str">
        <f t="shared" si="13"/>
        <v>False</v>
      </c>
      <c r="J36" t="str">
        <f t="shared" si="10"/>
        <v>True</v>
      </c>
      <c r="K36" t="s">
        <v>28</v>
      </c>
      <c r="L36" t="s">
        <v>29</v>
      </c>
      <c r="M36" t="s">
        <v>54</v>
      </c>
      <c r="N36" s="3">
        <v>300</v>
      </c>
      <c r="O36" t="str">
        <f t="shared" si="11"/>
        <v>True</v>
      </c>
      <c r="P36" s="3">
        <v>1</v>
      </c>
      <c r="Q36" s="3">
        <v>30</v>
      </c>
      <c r="R36" s="3">
        <v>1.5</v>
      </c>
      <c r="S36" t="str">
        <f t="shared" si="4"/>
        <v>False</v>
      </c>
      <c r="T36" s="3">
        <v>0.8</v>
      </c>
      <c r="U36" s="3">
        <v>0.5</v>
      </c>
      <c r="V36" t="str">
        <f t="shared" si="5"/>
        <v>False</v>
      </c>
      <c r="W36" s="3">
        <v>0.8</v>
      </c>
      <c r="X36" s="3">
        <v>50</v>
      </c>
      <c r="Y36" s="3">
        <v>50</v>
      </c>
      <c r="Z36" s="5">
        <v>1</v>
      </c>
      <c r="AA36" s="3">
        <v>3</v>
      </c>
      <c r="AB36" s="3">
        <v>10</v>
      </c>
      <c r="AC36" s="3">
        <v>50</v>
      </c>
      <c r="AD36" s="3">
        <v>82</v>
      </c>
      <c r="AE36" s="3">
        <v>300</v>
      </c>
      <c r="AF36" s="3">
        <v>30</v>
      </c>
      <c r="AG36" t="str">
        <f t="shared" si="12"/>
        <v>False</v>
      </c>
      <c r="AH36" s="3">
        <v>20</v>
      </c>
      <c r="AI36" s="3">
        <v>3</v>
      </c>
      <c r="AJ36" s="3">
        <v>0.8</v>
      </c>
      <c r="AK36" t="str">
        <f t="shared" si="7"/>
        <v>False</v>
      </c>
      <c r="AL36" s="5" t="e">
        <v>#N/A</v>
      </c>
      <c r="AM36" s="5" t="e">
        <v>#N/A</v>
      </c>
      <c r="AN36" s="5" t="e">
        <v>#N/A</v>
      </c>
      <c r="AO36" s="5" t="e">
        <v>#N/A</v>
      </c>
      <c r="AP36" s="5" t="e">
        <v>#N/A</v>
      </c>
      <c r="AQ36" s="5" t="e">
        <v>#N/A</v>
      </c>
      <c r="AR36" s="5" t="e">
        <v>#N/A</v>
      </c>
      <c r="AS36" s="5" t="e">
        <v>#N/A</v>
      </c>
      <c r="AT36" s="5" t="e">
        <v>#N/A</v>
      </c>
      <c r="AU36" s="5" t="e">
        <v>#N/A</v>
      </c>
      <c r="AV36" s="5" t="e">
        <v>#N/A</v>
      </c>
      <c r="AW36" s="5" t="e">
        <v>#N/A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Psychophysics</dc:creator>
  <cp:lastModifiedBy>Shentyurk, Serkan</cp:lastModifiedBy>
  <dcterms:created xsi:type="dcterms:W3CDTF">2023-03-22T11:11:24Z</dcterms:created>
  <dcterms:modified xsi:type="dcterms:W3CDTF">2026-01-26T15:50:09Z</dcterms:modified>
</cp:coreProperties>
</file>